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media/image1.bin" ContentType="image/unknown"/>
  <Override PartName="/xl/pivotTables/pivotTable2.xml" ContentType="application/vnd.openxmlformats-officedocument.spreadsheetml.pivotTable+xml"/>
  <Override PartName="/xl/tables/table4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iedostot\Pyöräily\"/>
    </mc:Choice>
  </mc:AlternateContent>
  <xr:revisionPtr revIDLastSave="0" documentId="13_ncr:1_{D3EDB75A-5830-4D98-B57B-E66A63DC074E}" xr6:coauthVersionLast="47" xr6:coauthVersionMax="47" xr10:uidLastSave="{00000000-0000-0000-0000-000000000000}"/>
  <bookViews>
    <workbookView xWindow="46110" yWindow="120" windowWidth="22020" windowHeight="20235" tabRatio="746" firstSheet="5" activeTab="7" xr2:uid="{00000000-000D-0000-FFFF-FFFF00000000}"/>
  </bookViews>
  <sheets>
    <sheet name="Pistetaulukko" sheetId="4" r:id="rId1"/>
    <sheet name="DATA" sheetId="3" r:id="rId2"/>
    <sheet name="Seurat" sheetId="11" r:id="rId3"/>
    <sheet name="Suttu" sheetId="5" r:id="rId4"/>
    <sheet name="Pivot 2024" sheetId="17" r:id="rId5"/>
    <sheet name="XCO-CUP Pistetilanne" sheetId="8" r:id="rId6"/>
    <sheet name="Seura Pivot" sheetId="21" r:id="rId7"/>
    <sheet name="Taul3" sheetId="20" r:id="rId8"/>
    <sheet name="Mitalistit" sheetId="22" r:id="rId9"/>
    <sheet name="Osallistumiset CUP" sheetId="19" r:id="rId10"/>
    <sheet name="Ohjeet" sheetId="16" r:id="rId11"/>
  </sheets>
  <definedNames>
    <definedName name="_xlnm._FilterDatabase" localSheetId="9" hidden="1">'Osallistumiset CUP'!$A$1:$J$291</definedName>
    <definedName name="_xlnm._FilterDatabase" localSheetId="3" hidden="1">Suttu!$C$2:$I$126</definedName>
    <definedName name="_xlnm._FilterDatabase" localSheetId="5" hidden="1">'XCO-CUP Pistetilanne'!$A$17:$K$132</definedName>
    <definedName name="_xlnm.Print_Area" localSheetId="5">'XCO-CUP Pistetilanne'!$A$1:$S$182</definedName>
  </definedNames>
  <calcPr calcId="191029"/>
  <pivotCaches>
    <pivotCache cacheId="1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_fbd3333e-1717-47b8-99bb-38b4edcaaeb2" name="DATA" connection="Excel Pisteet"/>
          <x15:modelTable id="Seurat_00af4a7b-da0f-42a7-82f8-6da77379cfb4" name="Seurat" connection="Excel Seura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F200" i="3" l="1"/>
  <c r="G200" i="3"/>
  <c r="H200" i="3" s="1"/>
  <c r="K200" i="3" s="1"/>
  <c r="I200" i="3"/>
  <c r="J200" i="3" s="1"/>
  <c r="F199" i="3"/>
  <c r="G199" i="3"/>
  <c r="H199" i="3" s="1"/>
  <c r="K199" i="3" s="1"/>
  <c r="I199" i="3"/>
  <c r="J199" i="3" s="1"/>
  <c r="F198" i="3"/>
  <c r="G198" i="3"/>
  <c r="H198" i="3" s="1"/>
  <c r="K198" i="3" s="1"/>
  <c r="I198" i="3"/>
  <c r="J198" i="3" s="1"/>
  <c r="F197" i="3"/>
  <c r="G197" i="3"/>
  <c r="H197" i="3" s="1"/>
  <c r="K197" i="3" s="1"/>
  <c r="I197" i="3"/>
  <c r="J197" i="3" s="1"/>
  <c r="F195" i="3" l="1"/>
  <c r="F196" i="3"/>
  <c r="G195" i="3"/>
  <c r="H195" i="3" s="1"/>
  <c r="G196" i="3"/>
  <c r="H196" i="3" s="1"/>
  <c r="I195" i="3"/>
  <c r="J195" i="3" s="1"/>
  <c r="I196" i="3"/>
  <c r="J196" i="3" s="1"/>
  <c r="F185" i="3"/>
  <c r="F186" i="3"/>
  <c r="F187" i="3"/>
  <c r="F188" i="3"/>
  <c r="F189" i="3"/>
  <c r="F190" i="3"/>
  <c r="F191" i="3"/>
  <c r="F192" i="3"/>
  <c r="F193" i="3"/>
  <c r="F194" i="3"/>
  <c r="G185" i="3"/>
  <c r="H185" i="3" s="1"/>
  <c r="G186" i="3"/>
  <c r="H186" i="3" s="1"/>
  <c r="G187" i="3"/>
  <c r="G188" i="3"/>
  <c r="H188" i="3" s="1"/>
  <c r="G189" i="3"/>
  <c r="H189" i="3" s="1"/>
  <c r="G190" i="3"/>
  <c r="H190" i="3" s="1"/>
  <c r="G191" i="3"/>
  <c r="H191" i="3" s="1"/>
  <c r="G192" i="3"/>
  <c r="H192" i="3" s="1"/>
  <c r="G193" i="3"/>
  <c r="H193" i="3" s="1"/>
  <c r="G194" i="3"/>
  <c r="H194" i="3" s="1"/>
  <c r="H187" i="3"/>
  <c r="I185" i="3"/>
  <c r="J185" i="3" s="1"/>
  <c r="I186" i="3"/>
  <c r="J186" i="3" s="1"/>
  <c r="I187" i="3"/>
  <c r="J187" i="3" s="1"/>
  <c r="I188" i="3"/>
  <c r="J188" i="3" s="1"/>
  <c r="I189" i="3"/>
  <c r="J189" i="3" s="1"/>
  <c r="I190" i="3"/>
  <c r="J190" i="3" s="1"/>
  <c r="I191" i="3"/>
  <c r="I192" i="3"/>
  <c r="J192" i="3" s="1"/>
  <c r="I193" i="3"/>
  <c r="J193" i="3" s="1"/>
  <c r="I194" i="3"/>
  <c r="J194" i="3" s="1"/>
  <c r="J191" i="3"/>
  <c r="K187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G170" i="3"/>
  <c r="H170" i="3" s="1"/>
  <c r="K170" i="3" s="1"/>
  <c r="G171" i="3"/>
  <c r="H171" i="3" s="1"/>
  <c r="K171" i="3" s="1"/>
  <c r="G172" i="3"/>
  <c r="H172" i="3" s="1"/>
  <c r="K172" i="3" s="1"/>
  <c r="G173" i="3"/>
  <c r="H173" i="3" s="1"/>
  <c r="K173" i="3" s="1"/>
  <c r="G174" i="3"/>
  <c r="G175" i="3"/>
  <c r="H175" i="3" s="1"/>
  <c r="K175" i="3" s="1"/>
  <c r="G176" i="3"/>
  <c r="H176" i="3" s="1"/>
  <c r="K176" i="3" s="1"/>
  <c r="G177" i="3"/>
  <c r="G178" i="3"/>
  <c r="H178" i="3" s="1"/>
  <c r="K178" i="3" s="1"/>
  <c r="G179" i="3"/>
  <c r="H179" i="3" s="1"/>
  <c r="K179" i="3" s="1"/>
  <c r="G180" i="3"/>
  <c r="G181" i="3"/>
  <c r="G182" i="3"/>
  <c r="G183" i="3"/>
  <c r="G184" i="3"/>
  <c r="H174" i="3"/>
  <c r="K174" i="3" s="1"/>
  <c r="H177" i="3"/>
  <c r="K177" i="3" s="1"/>
  <c r="H180" i="3"/>
  <c r="K180" i="3" s="1"/>
  <c r="H181" i="3"/>
  <c r="K181" i="3" s="1"/>
  <c r="H182" i="3"/>
  <c r="H183" i="3"/>
  <c r="H184" i="3"/>
  <c r="I170" i="3"/>
  <c r="J170" i="3" s="1"/>
  <c r="I171" i="3"/>
  <c r="J171" i="3" s="1"/>
  <c r="I172" i="3"/>
  <c r="J172" i="3" s="1"/>
  <c r="I173" i="3"/>
  <c r="J173" i="3" s="1"/>
  <c r="I174" i="3"/>
  <c r="J174" i="3" s="1"/>
  <c r="I175" i="3"/>
  <c r="I176" i="3"/>
  <c r="J176" i="3" s="1"/>
  <c r="I177" i="3"/>
  <c r="I178" i="3"/>
  <c r="J178" i="3" s="1"/>
  <c r="I179" i="3"/>
  <c r="J179" i="3" s="1"/>
  <c r="I180" i="3"/>
  <c r="J180" i="3" s="1"/>
  <c r="I181" i="3"/>
  <c r="I182" i="3"/>
  <c r="J182" i="3" s="1"/>
  <c r="K182" i="3" s="1"/>
  <c r="I183" i="3"/>
  <c r="J183" i="3" s="1"/>
  <c r="I184" i="3"/>
  <c r="J184" i="3" s="1"/>
  <c r="J175" i="3"/>
  <c r="J177" i="3"/>
  <c r="J181" i="3"/>
  <c r="K183" i="3"/>
  <c r="K184" i="3"/>
  <c r="F169" i="3"/>
  <c r="G169" i="3"/>
  <c r="H169" i="3" s="1"/>
  <c r="I169" i="3"/>
  <c r="J169" i="3" s="1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6" i="8"/>
  <c r="C37" i="8"/>
  <c r="C38" i="8"/>
  <c r="C39" i="8"/>
  <c r="C40" i="8"/>
  <c r="C41" i="8"/>
  <c r="C42" i="8"/>
  <c r="C43" i="8"/>
  <c r="C44" i="8"/>
  <c r="C45" i="8"/>
  <c r="C46" i="8"/>
  <c r="C47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3" i="8"/>
  <c r="C64" i="8"/>
  <c r="C65" i="8"/>
  <c r="C66" i="8"/>
  <c r="C67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6" i="8"/>
  <c r="C87" i="8"/>
  <c r="C88" i="8"/>
  <c r="C89" i="8"/>
  <c r="C90" i="8"/>
  <c r="C91" i="8"/>
  <c r="C92" i="8"/>
  <c r="C94" i="8"/>
  <c r="C95" i="8"/>
  <c r="C96" i="8"/>
  <c r="C97" i="8"/>
  <c r="C98" i="8"/>
  <c r="C99" i="8"/>
  <c r="C100" i="8"/>
  <c r="C101" i="8"/>
  <c r="C102" i="8"/>
  <c r="C104" i="8"/>
  <c r="C105" i="8"/>
  <c r="C107" i="8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G120" i="3"/>
  <c r="H120" i="3" s="1"/>
  <c r="G121" i="3"/>
  <c r="H121" i="3" s="1"/>
  <c r="G122" i="3"/>
  <c r="H122" i="3" s="1"/>
  <c r="G123" i="3"/>
  <c r="H123" i="3" s="1"/>
  <c r="G124" i="3"/>
  <c r="H124" i="3" s="1"/>
  <c r="G125" i="3"/>
  <c r="H125" i="3" s="1"/>
  <c r="G126" i="3"/>
  <c r="H126" i="3" s="1"/>
  <c r="G127" i="3"/>
  <c r="H127" i="3" s="1"/>
  <c r="G128" i="3"/>
  <c r="H128" i="3" s="1"/>
  <c r="G129" i="3"/>
  <c r="H129" i="3" s="1"/>
  <c r="G130" i="3"/>
  <c r="H130" i="3" s="1"/>
  <c r="G131" i="3"/>
  <c r="H131" i="3" s="1"/>
  <c r="G132" i="3"/>
  <c r="H132" i="3" s="1"/>
  <c r="I120" i="3"/>
  <c r="J120" i="3" s="1"/>
  <c r="K120" i="3" s="1"/>
  <c r="I121" i="3"/>
  <c r="I122" i="3"/>
  <c r="J122" i="3" s="1"/>
  <c r="K122" i="3" s="1"/>
  <c r="I123" i="3"/>
  <c r="J123" i="3" s="1"/>
  <c r="K123" i="3" s="1"/>
  <c r="I124" i="3"/>
  <c r="J124" i="3" s="1"/>
  <c r="K124" i="3" s="1"/>
  <c r="I125" i="3"/>
  <c r="J125" i="3" s="1"/>
  <c r="K125" i="3" s="1"/>
  <c r="I126" i="3"/>
  <c r="J126" i="3" s="1"/>
  <c r="K126" i="3" s="1"/>
  <c r="I127" i="3"/>
  <c r="J127" i="3" s="1"/>
  <c r="K127" i="3" s="1"/>
  <c r="I128" i="3"/>
  <c r="I129" i="3"/>
  <c r="J129" i="3" s="1"/>
  <c r="K129" i="3" s="1"/>
  <c r="I130" i="3"/>
  <c r="J130" i="3" s="1"/>
  <c r="K130" i="3" s="1"/>
  <c r="I131" i="3"/>
  <c r="J131" i="3" s="1"/>
  <c r="K131" i="3" s="1"/>
  <c r="I132" i="3"/>
  <c r="J132" i="3" s="1"/>
  <c r="K132" i="3" s="1"/>
  <c r="J121" i="3"/>
  <c r="K121" i="3" s="1"/>
  <c r="J128" i="3"/>
  <c r="K128" i="3" s="1"/>
  <c r="I3" i="3"/>
  <c r="J3" i="3" s="1"/>
  <c r="I4" i="3"/>
  <c r="J4" i="3" s="1"/>
  <c r="I5" i="3"/>
  <c r="J5" i="3" s="1"/>
  <c r="I6" i="3"/>
  <c r="J6" i="3" s="1"/>
  <c r="I7" i="3"/>
  <c r="J7" i="3" s="1"/>
  <c r="I8" i="3"/>
  <c r="J8" i="3" s="1"/>
  <c r="I9" i="3"/>
  <c r="J9" i="3" s="1"/>
  <c r="I10" i="3"/>
  <c r="J10" i="3" s="1"/>
  <c r="I11" i="3"/>
  <c r="J11" i="3" s="1"/>
  <c r="I12" i="3"/>
  <c r="J12" i="3" s="1"/>
  <c r="I13" i="3"/>
  <c r="J13" i="3" s="1"/>
  <c r="I14" i="3"/>
  <c r="J14" i="3" s="1"/>
  <c r="I15" i="3"/>
  <c r="J15" i="3" s="1"/>
  <c r="I16" i="3"/>
  <c r="J16" i="3" s="1"/>
  <c r="I17" i="3"/>
  <c r="J17" i="3" s="1"/>
  <c r="I18" i="3"/>
  <c r="J18" i="3" s="1"/>
  <c r="I19" i="3"/>
  <c r="J19" i="3" s="1"/>
  <c r="I20" i="3"/>
  <c r="J20" i="3" s="1"/>
  <c r="I21" i="3"/>
  <c r="J21" i="3" s="1"/>
  <c r="I22" i="3"/>
  <c r="J22" i="3" s="1"/>
  <c r="I23" i="3"/>
  <c r="J23" i="3" s="1"/>
  <c r="I24" i="3"/>
  <c r="J24" i="3" s="1"/>
  <c r="I25" i="3"/>
  <c r="J25" i="3" s="1"/>
  <c r="I26" i="3"/>
  <c r="J26" i="3" s="1"/>
  <c r="I27" i="3"/>
  <c r="J27" i="3" s="1"/>
  <c r="I28" i="3"/>
  <c r="J28" i="3" s="1"/>
  <c r="I29" i="3"/>
  <c r="J29" i="3" s="1"/>
  <c r="I30" i="3"/>
  <c r="J30" i="3" s="1"/>
  <c r="I31" i="3"/>
  <c r="J31" i="3" s="1"/>
  <c r="I32" i="3"/>
  <c r="J32" i="3" s="1"/>
  <c r="I33" i="3"/>
  <c r="J33" i="3" s="1"/>
  <c r="I34" i="3"/>
  <c r="J34" i="3" s="1"/>
  <c r="I35" i="3"/>
  <c r="J35" i="3" s="1"/>
  <c r="I36" i="3"/>
  <c r="J36" i="3" s="1"/>
  <c r="I37" i="3"/>
  <c r="J37" i="3" s="1"/>
  <c r="I38" i="3"/>
  <c r="J38" i="3" s="1"/>
  <c r="I39" i="3"/>
  <c r="J39" i="3" s="1"/>
  <c r="I40" i="3"/>
  <c r="J40" i="3" s="1"/>
  <c r="I41" i="3"/>
  <c r="J41" i="3" s="1"/>
  <c r="I42" i="3"/>
  <c r="J42" i="3" s="1"/>
  <c r="I43" i="3"/>
  <c r="J43" i="3" s="1"/>
  <c r="I44" i="3"/>
  <c r="J44" i="3" s="1"/>
  <c r="I45" i="3"/>
  <c r="J45" i="3" s="1"/>
  <c r="I46" i="3"/>
  <c r="J46" i="3" s="1"/>
  <c r="I47" i="3"/>
  <c r="J47" i="3" s="1"/>
  <c r="I48" i="3"/>
  <c r="J48" i="3" s="1"/>
  <c r="I49" i="3"/>
  <c r="J49" i="3" s="1"/>
  <c r="I50" i="3"/>
  <c r="J50" i="3" s="1"/>
  <c r="I51" i="3"/>
  <c r="J51" i="3" s="1"/>
  <c r="I52" i="3"/>
  <c r="J52" i="3" s="1"/>
  <c r="I53" i="3"/>
  <c r="J53" i="3" s="1"/>
  <c r="I54" i="3"/>
  <c r="J54" i="3" s="1"/>
  <c r="I55" i="3"/>
  <c r="J55" i="3" s="1"/>
  <c r="I56" i="3"/>
  <c r="J56" i="3" s="1"/>
  <c r="I57" i="3"/>
  <c r="J57" i="3" s="1"/>
  <c r="I58" i="3"/>
  <c r="J58" i="3" s="1"/>
  <c r="I59" i="3"/>
  <c r="J59" i="3" s="1"/>
  <c r="I60" i="3"/>
  <c r="J60" i="3" s="1"/>
  <c r="I61" i="3"/>
  <c r="J61" i="3" s="1"/>
  <c r="I62" i="3"/>
  <c r="J62" i="3" s="1"/>
  <c r="I63" i="3"/>
  <c r="J63" i="3" s="1"/>
  <c r="I64" i="3"/>
  <c r="J64" i="3" s="1"/>
  <c r="I65" i="3"/>
  <c r="J65" i="3" s="1"/>
  <c r="I66" i="3"/>
  <c r="J66" i="3" s="1"/>
  <c r="I67" i="3"/>
  <c r="J67" i="3" s="1"/>
  <c r="I68" i="3"/>
  <c r="J68" i="3" s="1"/>
  <c r="I69" i="3"/>
  <c r="J69" i="3" s="1"/>
  <c r="I70" i="3"/>
  <c r="J70" i="3" s="1"/>
  <c r="I71" i="3"/>
  <c r="J71" i="3" s="1"/>
  <c r="I72" i="3"/>
  <c r="J72" i="3" s="1"/>
  <c r="I73" i="3"/>
  <c r="J73" i="3" s="1"/>
  <c r="I74" i="3"/>
  <c r="J74" i="3" s="1"/>
  <c r="I75" i="3"/>
  <c r="J75" i="3" s="1"/>
  <c r="I76" i="3"/>
  <c r="J76" i="3" s="1"/>
  <c r="I77" i="3"/>
  <c r="J77" i="3" s="1"/>
  <c r="I78" i="3"/>
  <c r="J78" i="3" s="1"/>
  <c r="I79" i="3"/>
  <c r="J79" i="3" s="1"/>
  <c r="I80" i="3"/>
  <c r="J80" i="3" s="1"/>
  <c r="I81" i="3"/>
  <c r="J81" i="3" s="1"/>
  <c r="I82" i="3"/>
  <c r="J82" i="3" s="1"/>
  <c r="I83" i="3"/>
  <c r="J83" i="3" s="1"/>
  <c r="I84" i="3"/>
  <c r="J84" i="3" s="1"/>
  <c r="I85" i="3"/>
  <c r="J85" i="3" s="1"/>
  <c r="I86" i="3"/>
  <c r="J86" i="3" s="1"/>
  <c r="I87" i="3"/>
  <c r="J87" i="3" s="1"/>
  <c r="I88" i="3"/>
  <c r="J88" i="3" s="1"/>
  <c r="I89" i="3"/>
  <c r="J89" i="3" s="1"/>
  <c r="I90" i="3"/>
  <c r="J90" i="3" s="1"/>
  <c r="I91" i="3"/>
  <c r="J91" i="3" s="1"/>
  <c r="I92" i="3"/>
  <c r="J92" i="3" s="1"/>
  <c r="I93" i="3"/>
  <c r="J93" i="3" s="1"/>
  <c r="I94" i="3"/>
  <c r="J94" i="3" s="1"/>
  <c r="I95" i="3"/>
  <c r="J95" i="3" s="1"/>
  <c r="I96" i="3"/>
  <c r="J96" i="3" s="1"/>
  <c r="I97" i="3"/>
  <c r="J97" i="3" s="1"/>
  <c r="I98" i="3"/>
  <c r="J98" i="3" s="1"/>
  <c r="I99" i="3"/>
  <c r="J99" i="3" s="1"/>
  <c r="I100" i="3"/>
  <c r="J100" i="3" s="1"/>
  <c r="I101" i="3"/>
  <c r="J101" i="3" s="1"/>
  <c r="I102" i="3"/>
  <c r="J102" i="3" s="1"/>
  <c r="I103" i="3"/>
  <c r="J103" i="3" s="1"/>
  <c r="I104" i="3"/>
  <c r="J104" i="3" s="1"/>
  <c r="I105" i="3"/>
  <c r="J105" i="3" s="1"/>
  <c r="I106" i="3"/>
  <c r="J106" i="3" s="1"/>
  <c r="I107" i="3"/>
  <c r="J107" i="3" s="1"/>
  <c r="I108" i="3"/>
  <c r="J108" i="3" s="1"/>
  <c r="I109" i="3"/>
  <c r="J109" i="3" s="1"/>
  <c r="I110" i="3"/>
  <c r="J110" i="3" s="1"/>
  <c r="I111" i="3"/>
  <c r="J111" i="3" s="1"/>
  <c r="I112" i="3"/>
  <c r="J112" i="3" s="1"/>
  <c r="I113" i="3"/>
  <c r="J113" i="3" s="1"/>
  <c r="I114" i="3"/>
  <c r="J114" i="3" s="1"/>
  <c r="I115" i="3"/>
  <c r="J115" i="3" s="1"/>
  <c r="I116" i="3"/>
  <c r="J116" i="3" s="1"/>
  <c r="I117" i="3"/>
  <c r="J117" i="3" s="1"/>
  <c r="I118" i="3"/>
  <c r="J118" i="3" s="1"/>
  <c r="I119" i="3"/>
  <c r="J119" i="3" s="1"/>
  <c r="I133" i="3"/>
  <c r="J133" i="3" s="1"/>
  <c r="I134" i="3"/>
  <c r="J134" i="3" s="1"/>
  <c r="I135" i="3"/>
  <c r="J135" i="3" s="1"/>
  <c r="I136" i="3"/>
  <c r="J136" i="3" s="1"/>
  <c r="I137" i="3"/>
  <c r="J137" i="3" s="1"/>
  <c r="I138" i="3"/>
  <c r="J138" i="3" s="1"/>
  <c r="I139" i="3"/>
  <c r="J139" i="3" s="1"/>
  <c r="I140" i="3"/>
  <c r="J140" i="3" s="1"/>
  <c r="I141" i="3"/>
  <c r="J141" i="3" s="1"/>
  <c r="I142" i="3"/>
  <c r="J142" i="3" s="1"/>
  <c r="I143" i="3"/>
  <c r="J143" i="3" s="1"/>
  <c r="I144" i="3"/>
  <c r="J144" i="3" s="1"/>
  <c r="I145" i="3"/>
  <c r="J145" i="3" s="1"/>
  <c r="I146" i="3"/>
  <c r="J146" i="3" s="1"/>
  <c r="I147" i="3"/>
  <c r="J147" i="3" s="1"/>
  <c r="I148" i="3"/>
  <c r="J148" i="3" s="1"/>
  <c r="I149" i="3"/>
  <c r="J149" i="3" s="1"/>
  <c r="I150" i="3"/>
  <c r="J150" i="3" s="1"/>
  <c r="I151" i="3"/>
  <c r="J151" i="3" s="1"/>
  <c r="I152" i="3"/>
  <c r="J152" i="3" s="1"/>
  <c r="I153" i="3"/>
  <c r="J153" i="3" s="1"/>
  <c r="I154" i="3"/>
  <c r="J154" i="3" s="1"/>
  <c r="I155" i="3"/>
  <c r="J155" i="3" s="1"/>
  <c r="I156" i="3"/>
  <c r="J156" i="3" s="1"/>
  <c r="I157" i="3"/>
  <c r="J157" i="3" s="1"/>
  <c r="I158" i="3"/>
  <c r="J158" i="3" s="1"/>
  <c r="I159" i="3"/>
  <c r="J159" i="3" s="1"/>
  <c r="I160" i="3"/>
  <c r="J160" i="3" s="1"/>
  <c r="I161" i="3"/>
  <c r="J161" i="3" s="1"/>
  <c r="I162" i="3"/>
  <c r="J162" i="3" s="1"/>
  <c r="I163" i="3"/>
  <c r="J163" i="3" s="1"/>
  <c r="I164" i="3"/>
  <c r="J164" i="3" s="1"/>
  <c r="I165" i="3"/>
  <c r="J165" i="3" s="1"/>
  <c r="I166" i="3"/>
  <c r="J166" i="3" s="1"/>
  <c r="I167" i="3"/>
  <c r="J167" i="3" s="1"/>
  <c r="I168" i="3"/>
  <c r="J168" i="3" s="1"/>
  <c r="I2" i="3"/>
  <c r="J2" i="3" s="1"/>
  <c r="G3" i="3"/>
  <c r="H3" i="3" s="1"/>
  <c r="G4" i="3"/>
  <c r="H4" i="3" s="1"/>
  <c r="G5" i="3"/>
  <c r="H5" i="3" s="1"/>
  <c r="G6" i="3"/>
  <c r="H6" i="3" s="1"/>
  <c r="G7" i="3"/>
  <c r="H7" i="3" s="1"/>
  <c r="G8" i="3"/>
  <c r="H8" i="3" s="1"/>
  <c r="G9" i="3"/>
  <c r="H9" i="3" s="1"/>
  <c r="G10" i="3"/>
  <c r="H10" i="3" s="1"/>
  <c r="G11" i="3"/>
  <c r="H11" i="3" s="1"/>
  <c r="G12" i="3"/>
  <c r="H12" i="3" s="1"/>
  <c r="G13" i="3"/>
  <c r="H13" i="3" s="1"/>
  <c r="G14" i="3"/>
  <c r="H14" i="3" s="1"/>
  <c r="G15" i="3"/>
  <c r="H15" i="3" s="1"/>
  <c r="G16" i="3"/>
  <c r="H16" i="3" s="1"/>
  <c r="G17" i="3"/>
  <c r="H17" i="3" s="1"/>
  <c r="G18" i="3"/>
  <c r="H18" i="3" s="1"/>
  <c r="G19" i="3"/>
  <c r="H19" i="3" s="1"/>
  <c r="G20" i="3"/>
  <c r="H20" i="3" s="1"/>
  <c r="G21" i="3"/>
  <c r="H21" i="3" s="1"/>
  <c r="G22" i="3"/>
  <c r="H22" i="3" s="1"/>
  <c r="G23" i="3"/>
  <c r="H23" i="3" s="1"/>
  <c r="G24" i="3"/>
  <c r="H24" i="3" s="1"/>
  <c r="G25" i="3"/>
  <c r="H25" i="3" s="1"/>
  <c r="G26" i="3"/>
  <c r="H26" i="3" s="1"/>
  <c r="G27" i="3"/>
  <c r="H27" i="3" s="1"/>
  <c r="G28" i="3"/>
  <c r="H28" i="3" s="1"/>
  <c r="G29" i="3"/>
  <c r="H29" i="3" s="1"/>
  <c r="G30" i="3"/>
  <c r="H30" i="3" s="1"/>
  <c r="G31" i="3"/>
  <c r="H31" i="3" s="1"/>
  <c r="G32" i="3"/>
  <c r="H32" i="3" s="1"/>
  <c r="G33" i="3"/>
  <c r="H33" i="3" s="1"/>
  <c r="G34" i="3"/>
  <c r="H34" i="3" s="1"/>
  <c r="G35" i="3"/>
  <c r="H35" i="3" s="1"/>
  <c r="G36" i="3"/>
  <c r="H36" i="3" s="1"/>
  <c r="G37" i="3"/>
  <c r="H37" i="3" s="1"/>
  <c r="G38" i="3"/>
  <c r="H38" i="3" s="1"/>
  <c r="G39" i="3"/>
  <c r="H39" i="3" s="1"/>
  <c r="G40" i="3"/>
  <c r="H40" i="3" s="1"/>
  <c r="G41" i="3"/>
  <c r="H41" i="3" s="1"/>
  <c r="G42" i="3"/>
  <c r="H42" i="3" s="1"/>
  <c r="G43" i="3"/>
  <c r="H43" i="3" s="1"/>
  <c r="G44" i="3"/>
  <c r="H44" i="3" s="1"/>
  <c r="G45" i="3"/>
  <c r="H45" i="3" s="1"/>
  <c r="G46" i="3"/>
  <c r="H46" i="3" s="1"/>
  <c r="G47" i="3"/>
  <c r="H47" i="3" s="1"/>
  <c r="G48" i="3"/>
  <c r="H48" i="3" s="1"/>
  <c r="G49" i="3"/>
  <c r="H49" i="3" s="1"/>
  <c r="G50" i="3"/>
  <c r="H50" i="3" s="1"/>
  <c r="G51" i="3"/>
  <c r="H51" i="3" s="1"/>
  <c r="G52" i="3"/>
  <c r="H52" i="3" s="1"/>
  <c r="G53" i="3"/>
  <c r="H53" i="3" s="1"/>
  <c r="G54" i="3"/>
  <c r="H54" i="3" s="1"/>
  <c r="G55" i="3"/>
  <c r="H55" i="3" s="1"/>
  <c r="G56" i="3"/>
  <c r="H56" i="3" s="1"/>
  <c r="G57" i="3"/>
  <c r="H57" i="3" s="1"/>
  <c r="G58" i="3"/>
  <c r="H58" i="3" s="1"/>
  <c r="G59" i="3"/>
  <c r="H59" i="3" s="1"/>
  <c r="G60" i="3"/>
  <c r="H60" i="3" s="1"/>
  <c r="G61" i="3"/>
  <c r="H61" i="3" s="1"/>
  <c r="G62" i="3"/>
  <c r="H62" i="3" s="1"/>
  <c r="G63" i="3"/>
  <c r="H63" i="3" s="1"/>
  <c r="G64" i="3"/>
  <c r="H64" i="3" s="1"/>
  <c r="G65" i="3"/>
  <c r="H65" i="3" s="1"/>
  <c r="G66" i="3"/>
  <c r="H66" i="3" s="1"/>
  <c r="G67" i="3"/>
  <c r="H67" i="3" s="1"/>
  <c r="G68" i="3"/>
  <c r="H68" i="3" s="1"/>
  <c r="G69" i="3"/>
  <c r="H69" i="3" s="1"/>
  <c r="G70" i="3"/>
  <c r="H70" i="3" s="1"/>
  <c r="G71" i="3"/>
  <c r="H71" i="3" s="1"/>
  <c r="G72" i="3"/>
  <c r="H72" i="3" s="1"/>
  <c r="G73" i="3"/>
  <c r="H73" i="3" s="1"/>
  <c r="G74" i="3"/>
  <c r="H74" i="3" s="1"/>
  <c r="G75" i="3"/>
  <c r="H75" i="3" s="1"/>
  <c r="G76" i="3"/>
  <c r="H76" i="3" s="1"/>
  <c r="G77" i="3"/>
  <c r="H77" i="3" s="1"/>
  <c r="G78" i="3"/>
  <c r="H78" i="3" s="1"/>
  <c r="G79" i="3"/>
  <c r="H79" i="3" s="1"/>
  <c r="G80" i="3"/>
  <c r="H80" i="3" s="1"/>
  <c r="G81" i="3"/>
  <c r="H81" i="3" s="1"/>
  <c r="G82" i="3"/>
  <c r="H82" i="3" s="1"/>
  <c r="G83" i="3"/>
  <c r="H83" i="3" s="1"/>
  <c r="G84" i="3"/>
  <c r="H84" i="3" s="1"/>
  <c r="G85" i="3"/>
  <c r="H85" i="3" s="1"/>
  <c r="G86" i="3"/>
  <c r="H86" i="3" s="1"/>
  <c r="G87" i="3"/>
  <c r="H87" i="3" s="1"/>
  <c r="G88" i="3"/>
  <c r="H88" i="3" s="1"/>
  <c r="G89" i="3"/>
  <c r="H89" i="3" s="1"/>
  <c r="G90" i="3"/>
  <c r="H90" i="3" s="1"/>
  <c r="G91" i="3"/>
  <c r="H91" i="3" s="1"/>
  <c r="G92" i="3"/>
  <c r="H92" i="3" s="1"/>
  <c r="G93" i="3"/>
  <c r="H93" i="3" s="1"/>
  <c r="G94" i="3"/>
  <c r="H94" i="3" s="1"/>
  <c r="G95" i="3"/>
  <c r="H95" i="3" s="1"/>
  <c r="G96" i="3"/>
  <c r="H96" i="3" s="1"/>
  <c r="G97" i="3"/>
  <c r="H97" i="3" s="1"/>
  <c r="G98" i="3"/>
  <c r="H98" i="3" s="1"/>
  <c r="G99" i="3"/>
  <c r="H99" i="3" s="1"/>
  <c r="G100" i="3"/>
  <c r="H100" i="3" s="1"/>
  <c r="G101" i="3"/>
  <c r="H101" i="3" s="1"/>
  <c r="G102" i="3"/>
  <c r="H102" i="3" s="1"/>
  <c r="G103" i="3"/>
  <c r="H103" i="3" s="1"/>
  <c r="G104" i="3"/>
  <c r="H104" i="3" s="1"/>
  <c r="G105" i="3"/>
  <c r="H105" i="3" s="1"/>
  <c r="G106" i="3"/>
  <c r="H106" i="3" s="1"/>
  <c r="G107" i="3"/>
  <c r="H107" i="3" s="1"/>
  <c r="G108" i="3"/>
  <c r="H108" i="3" s="1"/>
  <c r="G109" i="3"/>
  <c r="H109" i="3" s="1"/>
  <c r="G110" i="3"/>
  <c r="H110" i="3" s="1"/>
  <c r="G111" i="3"/>
  <c r="H111" i="3" s="1"/>
  <c r="G112" i="3"/>
  <c r="H112" i="3" s="1"/>
  <c r="G113" i="3"/>
  <c r="H113" i="3" s="1"/>
  <c r="G114" i="3"/>
  <c r="H114" i="3" s="1"/>
  <c r="G115" i="3"/>
  <c r="H115" i="3" s="1"/>
  <c r="G116" i="3"/>
  <c r="H116" i="3" s="1"/>
  <c r="G117" i="3"/>
  <c r="H117" i="3" s="1"/>
  <c r="G118" i="3"/>
  <c r="H118" i="3" s="1"/>
  <c r="G119" i="3"/>
  <c r="H119" i="3" s="1"/>
  <c r="G133" i="3"/>
  <c r="H133" i="3" s="1"/>
  <c r="G134" i="3"/>
  <c r="H134" i="3" s="1"/>
  <c r="G135" i="3"/>
  <c r="H135" i="3" s="1"/>
  <c r="G136" i="3"/>
  <c r="H136" i="3" s="1"/>
  <c r="G137" i="3"/>
  <c r="H137" i="3" s="1"/>
  <c r="G138" i="3"/>
  <c r="H138" i="3" s="1"/>
  <c r="G139" i="3"/>
  <c r="H139" i="3" s="1"/>
  <c r="G140" i="3"/>
  <c r="H140" i="3" s="1"/>
  <c r="G141" i="3"/>
  <c r="H141" i="3" s="1"/>
  <c r="G142" i="3"/>
  <c r="H142" i="3" s="1"/>
  <c r="G143" i="3"/>
  <c r="H143" i="3" s="1"/>
  <c r="G144" i="3"/>
  <c r="H144" i="3" s="1"/>
  <c r="G145" i="3"/>
  <c r="H145" i="3" s="1"/>
  <c r="G146" i="3"/>
  <c r="H146" i="3" s="1"/>
  <c r="G147" i="3"/>
  <c r="H147" i="3" s="1"/>
  <c r="G148" i="3"/>
  <c r="H148" i="3" s="1"/>
  <c r="G149" i="3"/>
  <c r="H149" i="3" s="1"/>
  <c r="G150" i="3"/>
  <c r="H150" i="3" s="1"/>
  <c r="G151" i="3"/>
  <c r="H151" i="3" s="1"/>
  <c r="G152" i="3"/>
  <c r="H152" i="3" s="1"/>
  <c r="G153" i="3"/>
  <c r="H153" i="3" s="1"/>
  <c r="G154" i="3"/>
  <c r="H154" i="3" s="1"/>
  <c r="G155" i="3"/>
  <c r="H155" i="3" s="1"/>
  <c r="G156" i="3"/>
  <c r="H156" i="3" s="1"/>
  <c r="G157" i="3"/>
  <c r="H157" i="3" s="1"/>
  <c r="G158" i="3"/>
  <c r="H158" i="3" s="1"/>
  <c r="G159" i="3"/>
  <c r="H159" i="3" s="1"/>
  <c r="G160" i="3"/>
  <c r="H160" i="3" s="1"/>
  <c r="G161" i="3"/>
  <c r="H161" i="3" s="1"/>
  <c r="G162" i="3"/>
  <c r="H162" i="3" s="1"/>
  <c r="G163" i="3"/>
  <c r="H163" i="3" s="1"/>
  <c r="G164" i="3"/>
  <c r="H164" i="3" s="1"/>
  <c r="G165" i="3"/>
  <c r="H165" i="3" s="1"/>
  <c r="G166" i="3"/>
  <c r="H166" i="3" s="1"/>
  <c r="G167" i="3"/>
  <c r="H167" i="3" s="1"/>
  <c r="G168" i="3"/>
  <c r="H168" i="3" s="1"/>
  <c r="G2" i="3"/>
  <c r="H2" i="3" s="1"/>
  <c r="K169" i="3" l="1"/>
  <c r="K196" i="3"/>
  <c r="K194" i="3"/>
  <c r="K195" i="3"/>
  <c r="K186" i="3"/>
  <c r="K189" i="3"/>
  <c r="K191" i="3"/>
  <c r="K192" i="3"/>
  <c r="K193" i="3"/>
  <c r="K190" i="3"/>
  <c r="K188" i="3"/>
  <c r="K185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K165" i="3"/>
  <c r="K164" i="3"/>
  <c r="K166" i="3"/>
  <c r="K167" i="3"/>
  <c r="K168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F24" i="3" l="1"/>
  <c r="K24" i="3"/>
  <c r="F25" i="3"/>
  <c r="K25" i="3"/>
  <c r="F26" i="3"/>
  <c r="K26" i="3"/>
  <c r="F27" i="3"/>
  <c r="K27" i="3"/>
  <c r="F28" i="3"/>
  <c r="K28" i="3"/>
  <c r="F29" i="3"/>
  <c r="K29" i="3"/>
  <c r="F30" i="3"/>
  <c r="K30" i="3"/>
  <c r="F31" i="3"/>
  <c r="K31" i="3"/>
  <c r="F32" i="3"/>
  <c r="K32" i="3"/>
  <c r="F33" i="3"/>
  <c r="K33" i="3"/>
  <c r="F34" i="3"/>
  <c r="K34" i="3"/>
  <c r="F35" i="3"/>
  <c r="K35" i="3"/>
  <c r="F36" i="3"/>
  <c r="K36" i="3"/>
  <c r="F37" i="3"/>
  <c r="K37" i="3"/>
  <c r="F38" i="3"/>
  <c r="K38" i="3"/>
  <c r="F39" i="3"/>
  <c r="K39" i="3"/>
  <c r="F40" i="3"/>
  <c r="K40" i="3"/>
  <c r="F41" i="3"/>
  <c r="K41" i="3"/>
  <c r="F42" i="3"/>
  <c r="K42" i="3"/>
  <c r="F43" i="3"/>
  <c r="K43" i="3"/>
  <c r="F44" i="3"/>
  <c r="K44" i="3"/>
  <c r="F2" i="3"/>
  <c r="F3" i="3"/>
  <c r="F4" i="3"/>
  <c r="F5" i="3"/>
  <c r="C19" i="8"/>
  <c r="B28" i="16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L19" i="3" l="1"/>
  <c r="K2" i="3" l="1"/>
  <c r="K6" i="3"/>
  <c r="K23" i="3"/>
  <c r="K10" i="3"/>
  <c r="K14" i="3"/>
  <c r="K22" i="3"/>
  <c r="K3" i="3"/>
  <c r="K7" i="3"/>
  <c r="K9" i="3"/>
  <c r="K11" i="3"/>
  <c r="K13" i="3"/>
  <c r="K15" i="3"/>
  <c r="K17" i="3"/>
  <c r="K5" i="3"/>
  <c r="K12" i="3"/>
  <c r="K16" i="3"/>
  <c r="K20" i="3"/>
  <c r="K8" i="3"/>
  <c r="K21" i="3"/>
  <c r="K18" i="3"/>
  <c r="K4" i="3"/>
  <c r="K19" i="3"/>
  <c r="H281" i="19"/>
  <c r="I281" i="19"/>
  <c r="H282" i="19"/>
  <c r="I282" i="19"/>
  <c r="H283" i="19"/>
  <c r="I283" i="19"/>
  <c r="H284" i="19"/>
  <c r="I284" i="19"/>
  <c r="H285" i="19"/>
  <c r="I285" i="19"/>
  <c r="H286" i="19"/>
  <c r="I286" i="19"/>
  <c r="H287" i="19"/>
  <c r="I287" i="19"/>
  <c r="H288" i="19"/>
  <c r="I288" i="19"/>
  <c r="H289" i="19"/>
  <c r="I289" i="19"/>
  <c r="H278" i="19"/>
  <c r="I278" i="19"/>
  <c r="H279" i="19"/>
  <c r="I279" i="19"/>
  <c r="H280" i="19"/>
  <c r="I280" i="19"/>
  <c r="H4" i="19"/>
  <c r="I4" i="19"/>
  <c r="H5" i="19"/>
  <c r="I5" i="19"/>
  <c r="H6" i="19"/>
  <c r="I6" i="19"/>
  <c r="H7" i="19"/>
  <c r="I7" i="19"/>
  <c r="H8" i="19"/>
  <c r="I8" i="19"/>
  <c r="H9" i="19"/>
  <c r="I9" i="19"/>
  <c r="H10" i="19"/>
  <c r="I10" i="19"/>
  <c r="H11" i="19"/>
  <c r="I11" i="19"/>
  <c r="H12" i="19"/>
  <c r="I12" i="19"/>
  <c r="H13" i="19"/>
  <c r="I13" i="19"/>
  <c r="H14" i="19"/>
  <c r="I14" i="19"/>
  <c r="H15" i="19"/>
  <c r="I15" i="19"/>
  <c r="H16" i="19"/>
  <c r="I16" i="19"/>
  <c r="H17" i="19"/>
  <c r="I17" i="19"/>
  <c r="H18" i="19"/>
  <c r="I18" i="19"/>
  <c r="H19" i="19"/>
  <c r="I19" i="19"/>
  <c r="H20" i="19"/>
  <c r="I20" i="19"/>
  <c r="H21" i="19"/>
  <c r="I21" i="19"/>
  <c r="H22" i="19"/>
  <c r="I22" i="19"/>
  <c r="H23" i="19"/>
  <c r="I23" i="19"/>
  <c r="H24" i="19"/>
  <c r="I24" i="19"/>
  <c r="H25" i="19"/>
  <c r="I25" i="19"/>
  <c r="H26" i="19"/>
  <c r="I26" i="19"/>
  <c r="H27" i="19"/>
  <c r="I27" i="19"/>
  <c r="H28" i="19"/>
  <c r="I28" i="19"/>
  <c r="H29" i="19"/>
  <c r="I29" i="19"/>
  <c r="H30" i="19"/>
  <c r="I30" i="19"/>
  <c r="H31" i="19"/>
  <c r="I31" i="19"/>
  <c r="H32" i="19"/>
  <c r="I32" i="19"/>
  <c r="H33" i="19"/>
  <c r="I33" i="19"/>
  <c r="H34" i="19"/>
  <c r="I34" i="19"/>
  <c r="H35" i="19"/>
  <c r="I35" i="19"/>
  <c r="H36" i="19"/>
  <c r="I36" i="19"/>
  <c r="H37" i="19"/>
  <c r="I37" i="19"/>
  <c r="H38" i="19"/>
  <c r="I38" i="19"/>
  <c r="H39" i="19"/>
  <c r="I39" i="19"/>
  <c r="H40" i="19"/>
  <c r="I40" i="19"/>
  <c r="H41" i="19"/>
  <c r="I41" i="19"/>
  <c r="H42" i="19"/>
  <c r="I42" i="19"/>
  <c r="H43" i="19"/>
  <c r="I43" i="19"/>
  <c r="H44" i="19"/>
  <c r="I44" i="19"/>
  <c r="H45" i="19"/>
  <c r="I45" i="19"/>
  <c r="H46" i="19"/>
  <c r="I46" i="19"/>
  <c r="H47" i="19"/>
  <c r="I47" i="19"/>
  <c r="H48" i="19"/>
  <c r="I48" i="19"/>
  <c r="H49" i="19"/>
  <c r="I49" i="19"/>
  <c r="H50" i="19"/>
  <c r="I50" i="19"/>
  <c r="H51" i="19"/>
  <c r="I51" i="19"/>
  <c r="H52" i="19"/>
  <c r="I52" i="19"/>
  <c r="H53" i="19"/>
  <c r="I53" i="19"/>
  <c r="H54" i="19"/>
  <c r="I54" i="19"/>
  <c r="H55" i="19"/>
  <c r="I55" i="19"/>
  <c r="H56" i="19"/>
  <c r="I56" i="19"/>
  <c r="H57" i="19"/>
  <c r="I57" i="19"/>
  <c r="H58" i="19"/>
  <c r="I58" i="19"/>
  <c r="H59" i="19"/>
  <c r="I59" i="19"/>
  <c r="H60" i="19"/>
  <c r="I60" i="19"/>
  <c r="H61" i="19"/>
  <c r="I61" i="19"/>
  <c r="H62" i="19"/>
  <c r="I62" i="19"/>
  <c r="H63" i="19"/>
  <c r="I63" i="19"/>
  <c r="H64" i="19"/>
  <c r="I64" i="19"/>
  <c r="H65" i="19"/>
  <c r="I65" i="19"/>
  <c r="H66" i="19"/>
  <c r="I66" i="19"/>
  <c r="H67" i="19"/>
  <c r="I67" i="19"/>
  <c r="H68" i="19"/>
  <c r="I68" i="19"/>
  <c r="H69" i="19"/>
  <c r="I69" i="19"/>
  <c r="H70" i="19"/>
  <c r="I70" i="19"/>
  <c r="H71" i="19"/>
  <c r="I71" i="19"/>
  <c r="H72" i="19"/>
  <c r="I72" i="19"/>
  <c r="H73" i="19"/>
  <c r="I73" i="19"/>
  <c r="H74" i="19"/>
  <c r="I74" i="19"/>
  <c r="H75" i="19"/>
  <c r="I75" i="19"/>
  <c r="H76" i="19"/>
  <c r="I76" i="19"/>
  <c r="H77" i="19"/>
  <c r="I77" i="19"/>
  <c r="H78" i="19"/>
  <c r="I78" i="19"/>
  <c r="H79" i="19"/>
  <c r="I79" i="19"/>
  <c r="H80" i="19"/>
  <c r="I80" i="19"/>
  <c r="H81" i="19"/>
  <c r="I81" i="19"/>
  <c r="H82" i="19"/>
  <c r="I82" i="19"/>
  <c r="H83" i="19"/>
  <c r="I83" i="19"/>
  <c r="H84" i="19"/>
  <c r="I84" i="19"/>
  <c r="H85" i="19"/>
  <c r="I85" i="19"/>
  <c r="H86" i="19"/>
  <c r="I86" i="19"/>
  <c r="H87" i="19"/>
  <c r="I87" i="19"/>
  <c r="H88" i="19"/>
  <c r="I88" i="19"/>
  <c r="H89" i="19"/>
  <c r="I89" i="19"/>
  <c r="H90" i="19"/>
  <c r="I90" i="19"/>
  <c r="H91" i="19"/>
  <c r="I91" i="19"/>
  <c r="H92" i="19"/>
  <c r="I92" i="19"/>
  <c r="H93" i="19"/>
  <c r="I93" i="19"/>
  <c r="H94" i="19"/>
  <c r="I94" i="19"/>
  <c r="H95" i="19"/>
  <c r="I95" i="19"/>
  <c r="H96" i="19"/>
  <c r="I96" i="19"/>
  <c r="H97" i="19"/>
  <c r="I97" i="19"/>
  <c r="H98" i="19"/>
  <c r="I98" i="19"/>
  <c r="H99" i="19"/>
  <c r="I99" i="19"/>
  <c r="H100" i="19"/>
  <c r="I100" i="19"/>
  <c r="H101" i="19"/>
  <c r="I101" i="19"/>
  <c r="H102" i="19"/>
  <c r="I102" i="19"/>
  <c r="H103" i="19"/>
  <c r="I103" i="19"/>
  <c r="H104" i="19"/>
  <c r="I104" i="19"/>
  <c r="H105" i="19"/>
  <c r="I105" i="19"/>
  <c r="H106" i="19"/>
  <c r="I106" i="19"/>
  <c r="H107" i="19"/>
  <c r="I107" i="19"/>
  <c r="H108" i="19"/>
  <c r="I108" i="19"/>
  <c r="H109" i="19"/>
  <c r="I109" i="19"/>
  <c r="H110" i="19"/>
  <c r="I110" i="19"/>
  <c r="H111" i="19"/>
  <c r="I111" i="19"/>
  <c r="H112" i="19"/>
  <c r="I112" i="19"/>
  <c r="H113" i="19"/>
  <c r="I113" i="19"/>
  <c r="H114" i="19"/>
  <c r="I114" i="19"/>
  <c r="H115" i="19"/>
  <c r="I115" i="19"/>
  <c r="H116" i="19"/>
  <c r="I116" i="19"/>
  <c r="H117" i="19"/>
  <c r="I117" i="19"/>
  <c r="H118" i="19"/>
  <c r="I118" i="19"/>
  <c r="H119" i="19"/>
  <c r="I119" i="19"/>
  <c r="H120" i="19"/>
  <c r="I120" i="19"/>
  <c r="H121" i="19"/>
  <c r="I121" i="19"/>
  <c r="H122" i="19"/>
  <c r="I122" i="19"/>
  <c r="H123" i="19"/>
  <c r="I123" i="19"/>
  <c r="H124" i="19"/>
  <c r="I124" i="19"/>
  <c r="H125" i="19"/>
  <c r="I125" i="19"/>
  <c r="H126" i="19"/>
  <c r="I126" i="19"/>
  <c r="H127" i="19"/>
  <c r="I127" i="19"/>
  <c r="H128" i="19"/>
  <c r="I128" i="19"/>
  <c r="H129" i="19"/>
  <c r="I129" i="19"/>
  <c r="H130" i="19"/>
  <c r="I130" i="19"/>
  <c r="H131" i="19"/>
  <c r="I131" i="19"/>
  <c r="H132" i="19"/>
  <c r="I132" i="19"/>
  <c r="H133" i="19"/>
  <c r="I133" i="19"/>
  <c r="H134" i="19"/>
  <c r="I134" i="19"/>
  <c r="H135" i="19"/>
  <c r="I135" i="19"/>
  <c r="H136" i="19"/>
  <c r="I136" i="19"/>
  <c r="H137" i="19"/>
  <c r="I137" i="19"/>
  <c r="H138" i="19"/>
  <c r="I138" i="19"/>
  <c r="H139" i="19"/>
  <c r="I139" i="19"/>
  <c r="H140" i="19"/>
  <c r="I140" i="19"/>
  <c r="H141" i="19"/>
  <c r="I141" i="19"/>
  <c r="H142" i="19"/>
  <c r="I142" i="19"/>
  <c r="H143" i="19"/>
  <c r="I143" i="19"/>
  <c r="H144" i="19"/>
  <c r="I144" i="19"/>
  <c r="H145" i="19"/>
  <c r="I145" i="19"/>
  <c r="H146" i="19"/>
  <c r="I146" i="19"/>
  <c r="H147" i="19"/>
  <c r="I147" i="19"/>
  <c r="H148" i="19"/>
  <c r="I148" i="19"/>
  <c r="H149" i="19"/>
  <c r="I149" i="19"/>
  <c r="H150" i="19"/>
  <c r="I150" i="19"/>
  <c r="H151" i="19"/>
  <c r="I151" i="19"/>
  <c r="H152" i="19"/>
  <c r="I152" i="19"/>
  <c r="H153" i="19"/>
  <c r="I153" i="19"/>
  <c r="H154" i="19"/>
  <c r="I154" i="19"/>
  <c r="H155" i="19"/>
  <c r="I155" i="19"/>
  <c r="H156" i="19"/>
  <c r="I156" i="19"/>
  <c r="H157" i="19"/>
  <c r="I157" i="19"/>
  <c r="H158" i="19"/>
  <c r="I158" i="19"/>
  <c r="H159" i="19"/>
  <c r="I159" i="19"/>
  <c r="H160" i="19"/>
  <c r="I160" i="19"/>
  <c r="H161" i="19"/>
  <c r="I161" i="19"/>
  <c r="H162" i="19"/>
  <c r="I162" i="19"/>
  <c r="H163" i="19"/>
  <c r="I163" i="19"/>
  <c r="H164" i="19"/>
  <c r="I164" i="19"/>
  <c r="H165" i="19"/>
  <c r="I165" i="19"/>
  <c r="H166" i="19"/>
  <c r="I166" i="19"/>
  <c r="H167" i="19"/>
  <c r="I167" i="19"/>
  <c r="H168" i="19"/>
  <c r="I168" i="19"/>
  <c r="H169" i="19"/>
  <c r="I169" i="19"/>
  <c r="H170" i="19"/>
  <c r="I170" i="19"/>
  <c r="H171" i="19"/>
  <c r="I171" i="19"/>
  <c r="H172" i="19"/>
  <c r="I172" i="19"/>
  <c r="H173" i="19"/>
  <c r="I173" i="19"/>
  <c r="H174" i="19"/>
  <c r="I174" i="19"/>
  <c r="H175" i="19"/>
  <c r="I175" i="19"/>
  <c r="H176" i="19"/>
  <c r="I176" i="19"/>
  <c r="H177" i="19"/>
  <c r="I177" i="19"/>
  <c r="H178" i="19"/>
  <c r="I178" i="19"/>
  <c r="H179" i="19"/>
  <c r="I179" i="19"/>
  <c r="H180" i="19"/>
  <c r="I180" i="19"/>
  <c r="H181" i="19"/>
  <c r="I181" i="19"/>
  <c r="H182" i="19"/>
  <c r="I182" i="19"/>
  <c r="H183" i="19"/>
  <c r="I183" i="19"/>
  <c r="H184" i="19"/>
  <c r="I184" i="19"/>
  <c r="H185" i="19"/>
  <c r="I185" i="19"/>
  <c r="H186" i="19"/>
  <c r="I186" i="19"/>
  <c r="H187" i="19"/>
  <c r="I187" i="19"/>
  <c r="H188" i="19"/>
  <c r="I188" i="19"/>
  <c r="H189" i="19"/>
  <c r="I189" i="19"/>
  <c r="H190" i="19"/>
  <c r="I190" i="19"/>
  <c r="H191" i="19"/>
  <c r="I191" i="19"/>
  <c r="H192" i="19"/>
  <c r="I192" i="19"/>
  <c r="H193" i="19"/>
  <c r="I193" i="19"/>
  <c r="H194" i="19"/>
  <c r="I194" i="19"/>
  <c r="H195" i="19"/>
  <c r="I195" i="19"/>
  <c r="H196" i="19"/>
  <c r="I196" i="19"/>
  <c r="H197" i="19"/>
  <c r="I197" i="19"/>
  <c r="H198" i="19"/>
  <c r="I198" i="19"/>
  <c r="H199" i="19"/>
  <c r="I199" i="19"/>
  <c r="H200" i="19"/>
  <c r="I200" i="19"/>
  <c r="H201" i="19"/>
  <c r="I201" i="19"/>
  <c r="H202" i="19"/>
  <c r="I202" i="19"/>
  <c r="H203" i="19"/>
  <c r="I203" i="19"/>
  <c r="H204" i="19"/>
  <c r="I204" i="19"/>
  <c r="H205" i="19"/>
  <c r="I205" i="19"/>
  <c r="H206" i="19"/>
  <c r="I206" i="19"/>
  <c r="H207" i="19"/>
  <c r="I207" i="19"/>
  <c r="H208" i="19"/>
  <c r="I208" i="19"/>
  <c r="H209" i="19"/>
  <c r="I209" i="19"/>
  <c r="H210" i="19"/>
  <c r="I210" i="19"/>
  <c r="H211" i="19"/>
  <c r="I211" i="19"/>
  <c r="H212" i="19"/>
  <c r="I212" i="19"/>
  <c r="H213" i="19"/>
  <c r="I213" i="19"/>
  <c r="H214" i="19"/>
  <c r="I214" i="19"/>
  <c r="H215" i="19"/>
  <c r="I215" i="19"/>
  <c r="H216" i="19"/>
  <c r="I216" i="19"/>
  <c r="H217" i="19"/>
  <c r="I217" i="19"/>
  <c r="H218" i="19"/>
  <c r="I218" i="19"/>
  <c r="H219" i="19"/>
  <c r="I219" i="19"/>
  <c r="H220" i="19"/>
  <c r="I220" i="19"/>
  <c r="H221" i="19"/>
  <c r="I221" i="19"/>
  <c r="H222" i="19"/>
  <c r="I222" i="19"/>
  <c r="H223" i="19"/>
  <c r="I223" i="19"/>
  <c r="H224" i="19"/>
  <c r="I224" i="19"/>
  <c r="H225" i="19"/>
  <c r="I225" i="19"/>
  <c r="H226" i="19"/>
  <c r="I226" i="19"/>
  <c r="H227" i="19"/>
  <c r="I227" i="19"/>
  <c r="H228" i="19"/>
  <c r="I228" i="19"/>
  <c r="H229" i="19"/>
  <c r="I229" i="19"/>
  <c r="H230" i="19"/>
  <c r="I230" i="19"/>
  <c r="H231" i="19"/>
  <c r="I231" i="19"/>
  <c r="H232" i="19"/>
  <c r="I232" i="19"/>
  <c r="H233" i="19"/>
  <c r="I233" i="19"/>
  <c r="H234" i="19"/>
  <c r="I234" i="19"/>
  <c r="H235" i="19"/>
  <c r="I235" i="19"/>
  <c r="H236" i="19"/>
  <c r="I236" i="19"/>
  <c r="H237" i="19"/>
  <c r="I237" i="19"/>
  <c r="H238" i="19"/>
  <c r="I238" i="19"/>
  <c r="H239" i="19"/>
  <c r="I239" i="19"/>
  <c r="H240" i="19"/>
  <c r="I240" i="19"/>
  <c r="H241" i="19"/>
  <c r="I241" i="19"/>
  <c r="H242" i="19"/>
  <c r="I242" i="19"/>
  <c r="H243" i="19"/>
  <c r="I243" i="19"/>
  <c r="H244" i="19"/>
  <c r="I244" i="19"/>
  <c r="H245" i="19"/>
  <c r="I245" i="19"/>
  <c r="H246" i="19"/>
  <c r="I246" i="19"/>
  <c r="H247" i="19"/>
  <c r="I247" i="19"/>
  <c r="H248" i="19"/>
  <c r="I248" i="19"/>
  <c r="H249" i="19"/>
  <c r="I249" i="19"/>
  <c r="H250" i="19"/>
  <c r="I250" i="19"/>
  <c r="H251" i="19"/>
  <c r="I251" i="19"/>
  <c r="H252" i="19"/>
  <c r="I252" i="19"/>
  <c r="H253" i="19"/>
  <c r="I253" i="19"/>
  <c r="H254" i="19"/>
  <c r="I254" i="19"/>
  <c r="H255" i="19"/>
  <c r="I255" i="19"/>
  <c r="H256" i="19"/>
  <c r="I256" i="19"/>
  <c r="H257" i="19"/>
  <c r="I257" i="19"/>
  <c r="H258" i="19"/>
  <c r="I258" i="19"/>
  <c r="H259" i="19"/>
  <c r="I259" i="19"/>
  <c r="H260" i="19"/>
  <c r="I260" i="19"/>
  <c r="H261" i="19"/>
  <c r="I261" i="19"/>
  <c r="H262" i="19"/>
  <c r="I262" i="19"/>
  <c r="H263" i="19"/>
  <c r="I263" i="19"/>
  <c r="H264" i="19"/>
  <c r="I264" i="19"/>
  <c r="H265" i="19"/>
  <c r="I265" i="19"/>
  <c r="H266" i="19"/>
  <c r="I266" i="19"/>
  <c r="H267" i="19"/>
  <c r="I267" i="19"/>
  <c r="H268" i="19"/>
  <c r="I268" i="19"/>
  <c r="H269" i="19"/>
  <c r="I269" i="19"/>
  <c r="H270" i="19"/>
  <c r="I270" i="19"/>
  <c r="H271" i="19"/>
  <c r="I271" i="19"/>
  <c r="H272" i="19"/>
  <c r="I272" i="19"/>
  <c r="H273" i="19"/>
  <c r="I273" i="19"/>
  <c r="H274" i="19"/>
  <c r="I274" i="19"/>
  <c r="H275" i="19"/>
  <c r="I275" i="19"/>
  <c r="H276" i="19"/>
  <c r="I276" i="19"/>
  <c r="H277" i="19"/>
  <c r="I277" i="19"/>
  <c r="H3" i="19"/>
  <c r="I3" i="19"/>
  <c r="J251" i="19" l="1"/>
  <c r="J59" i="19"/>
  <c r="J223" i="19"/>
  <c r="J219" i="19"/>
  <c r="J203" i="19"/>
  <c r="J266" i="19"/>
  <c r="J262" i="19"/>
  <c r="J207" i="19"/>
  <c r="J187" i="19"/>
  <c r="J175" i="19"/>
  <c r="J171" i="19"/>
  <c r="J159" i="19"/>
  <c r="J155" i="19"/>
  <c r="J143" i="19"/>
  <c r="J139" i="19"/>
  <c r="J123" i="19"/>
  <c r="J111" i="19"/>
  <c r="J107" i="19"/>
  <c r="J95" i="19"/>
  <c r="J91" i="19"/>
  <c r="J79" i="19"/>
  <c r="J75" i="19"/>
  <c r="J261" i="19"/>
  <c r="J257" i="19"/>
  <c r="J191" i="19"/>
  <c r="J47" i="19"/>
  <c r="J43" i="19"/>
  <c r="J31" i="19"/>
  <c r="J27" i="19"/>
  <c r="J15" i="19"/>
  <c r="J11" i="19"/>
  <c r="J127" i="19"/>
  <c r="J218" i="19"/>
  <c r="J214" i="19"/>
  <c r="J210" i="19"/>
  <c r="J202" i="19"/>
  <c r="J198" i="19"/>
  <c r="J63" i="19"/>
  <c r="J194" i="19"/>
  <c r="J154" i="19"/>
  <c r="J150" i="19"/>
  <c r="J146" i="19"/>
  <c r="J138" i="19"/>
  <c r="J134" i="19"/>
  <c r="J130" i="19"/>
  <c r="J90" i="19"/>
  <c r="J86" i="19"/>
  <c r="J82" i="19"/>
  <c r="J74" i="19"/>
  <c r="J70" i="19"/>
  <c r="J66" i="19"/>
  <c r="J26" i="19"/>
  <c r="J22" i="19"/>
  <c r="J18" i="19"/>
  <c r="J10" i="19"/>
  <c r="J6" i="19"/>
  <c r="J239" i="19"/>
  <c r="J235" i="19"/>
  <c r="J250" i="19"/>
  <c r="J246" i="19"/>
  <c r="J242" i="19"/>
  <c r="J234" i="19"/>
  <c r="J230" i="19"/>
  <c r="J226" i="19"/>
  <c r="J186" i="19"/>
  <c r="J182" i="19"/>
  <c r="J178" i="19"/>
  <c r="J170" i="19"/>
  <c r="J166" i="19"/>
  <c r="J162" i="19"/>
  <c r="J122" i="19"/>
  <c r="J118" i="19"/>
  <c r="J114" i="19"/>
  <c r="J106" i="19"/>
  <c r="J102" i="19"/>
  <c r="J98" i="19"/>
  <c r="J58" i="19"/>
  <c r="J54" i="19"/>
  <c r="J50" i="19"/>
  <c r="J42" i="19"/>
  <c r="J38" i="19"/>
  <c r="J34" i="19"/>
  <c r="J279" i="19"/>
  <c r="J287" i="19"/>
  <c r="J277" i="19"/>
  <c r="J273" i="19"/>
  <c r="J283" i="19"/>
  <c r="J274" i="19"/>
  <c r="J270" i="19"/>
  <c r="J258" i="19"/>
  <c r="J247" i="19"/>
  <c r="J243" i="19"/>
  <c r="J231" i="19"/>
  <c r="J227" i="19"/>
  <c r="J215" i="19"/>
  <c r="J211" i="19"/>
  <c r="J199" i="19"/>
  <c r="J195" i="19"/>
  <c r="J183" i="19"/>
  <c r="J179" i="19"/>
  <c r="J167" i="19"/>
  <c r="J163" i="19"/>
  <c r="J151" i="19"/>
  <c r="J147" i="19"/>
  <c r="J135" i="19"/>
  <c r="J131" i="19"/>
  <c r="J119" i="19"/>
  <c r="J115" i="19"/>
  <c r="J103" i="19"/>
  <c r="J99" i="19"/>
  <c r="J87" i="19"/>
  <c r="J83" i="19"/>
  <c r="J71" i="19"/>
  <c r="J67" i="19"/>
  <c r="J55" i="19"/>
  <c r="J51" i="19"/>
  <c r="J39" i="19"/>
  <c r="J35" i="19"/>
  <c r="J23" i="19"/>
  <c r="J19" i="19"/>
  <c r="J7" i="19"/>
  <c r="J288" i="19"/>
  <c r="J284" i="19"/>
  <c r="J269" i="19"/>
  <c r="J265" i="19"/>
  <c r="J238" i="19"/>
  <c r="J222" i="19"/>
  <c r="J206" i="19"/>
  <c r="J190" i="19"/>
  <c r="J174" i="19"/>
  <c r="J158" i="19"/>
  <c r="J142" i="19"/>
  <c r="J126" i="19"/>
  <c r="J110" i="19"/>
  <c r="J94" i="19"/>
  <c r="J78" i="19"/>
  <c r="J62" i="19"/>
  <c r="J46" i="19"/>
  <c r="J30" i="19"/>
  <c r="J14" i="19"/>
  <c r="J276" i="19"/>
  <c r="J275" i="19"/>
  <c r="J272" i="19"/>
  <c r="J271" i="19"/>
  <c r="J268" i="19"/>
  <c r="J267" i="19"/>
  <c r="J264" i="19"/>
  <c r="J263" i="19"/>
  <c r="J260" i="19"/>
  <c r="J259" i="19"/>
  <c r="J256" i="19"/>
  <c r="J255" i="19"/>
  <c r="J253" i="19"/>
  <c r="J252" i="19"/>
  <c r="J249" i="19"/>
  <c r="J248" i="19"/>
  <c r="J245" i="19"/>
  <c r="J244" i="19"/>
  <c r="J241" i="19"/>
  <c r="J240" i="19"/>
  <c r="J237" i="19"/>
  <c r="J236" i="19"/>
  <c r="J233" i="19"/>
  <c r="J232" i="19"/>
  <c r="J229" i="19"/>
  <c r="J228" i="19"/>
  <c r="J225" i="19"/>
  <c r="J224" i="19"/>
  <c r="J221" i="19"/>
  <c r="J220" i="19"/>
  <c r="J217" i="19"/>
  <c r="J216" i="19"/>
  <c r="J213" i="19"/>
  <c r="J212" i="19"/>
  <c r="J209" i="19"/>
  <c r="J208" i="19"/>
  <c r="J205" i="19"/>
  <c r="J204" i="19"/>
  <c r="J201" i="19"/>
  <c r="J200" i="19"/>
  <c r="J197" i="19"/>
  <c r="J196" i="19"/>
  <c r="J193" i="19"/>
  <c r="J192" i="19"/>
  <c r="J189" i="19"/>
  <c r="J188" i="19"/>
  <c r="J185" i="19"/>
  <c r="J184" i="19"/>
  <c r="J181" i="19"/>
  <c r="J180" i="19"/>
  <c r="J177" i="19"/>
  <c r="J176" i="19"/>
  <c r="J173" i="19"/>
  <c r="J172" i="19"/>
  <c r="J169" i="19"/>
  <c r="J168" i="19"/>
  <c r="J165" i="19"/>
  <c r="J164" i="19"/>
  <c r="J161" i="19"/>
  <c r="J160" i="19"/>
  <c r="J157" i="19"/>
  <c r="J156" i="19"/>
  <c r="J153" i="19"/>
  <c r="J152" i="19"/>
  <c r="J149" i="19"/>
  <c r="J148" i="19"/>
  <c r="J145" i="19"/>
  <c r="J144" i="19"/>
  <c r="J141" i="19"/>
  <c r="J140" i="19"/>
  <c r="J137" i="19"/>
  <c r="J136" i="19"/>
  <c r="J133" i="19"/>
  <c r="J132" i="19"/>
  <c r="J129" i="19"/>
  <c r="J128" i="19"/>
  <c r="J125" i="19"/>
  <c r="J124" i="19"/>
  <c r="J121" i="19"/>
  <c r="J120" i="19"/>
  <c r="J117" i="19"/>
  <c r="J116" i="19"/>
  <c r="J113" i="19"/>
  <c r="J112" i="19"/>
  <c r="J109" i="19"/>
  <c r="J108" i="19"/>
  <c r="J105" i="19"/>
  <c r="J104" i="19"/>
  <c r="J101" i="19"/>
  <c r="J100" i="19"/>
  <c r="J97" i="19"/>
  <c r="J96" i="19"/>
  <c r="J93" i="19"/>
  <c r="J92" i="19"/>
  <c r="J89" i="19"/>
  <c r="J88" i="19"/>
  <c r="J85" i="19"/>
  <c r="J84" i="19"/>
  <c r="J81" i="19"/>
  <c r="J80" i="19"/>
  <c r="J77" i="19"/>
  <c r="J76" i="19"/>
  <c r="J73" i="19"/>
  <c r="J72" i="19"/>
  <c r="J69" i="19"/>
  <c r="J68" i="19"/>
  <c r="J65" i="19"/>
  <c r="J64" i="19"/>
  <c r="J61" i="19"/>
  <c r="J60" i="19"/>
  <c r="J57" i="19"/>
  <c r="J56" i="19"/>
  <c r="J53" i="19"/>
  <c r="J52" i="19"/>
  <c r="J49" i="19"/>
  <c r="J48" i="19"/>
  <c r="J45" i="19"/>
  <c r="J44" i="19"/>
  <c r="J41" i="19"/>
  <c r="J40" i="19"/>
  <c r="J37" i="19"/>
  <c r="J36" i="19"/>
  <c r="J33" i="19"/>
  <c r="J32" i="19"/>
  <c r="J29" i="19"/>
  <c r="J28" i="19"/>
  <c r="J25" i="19"/>
  <c r="J24" i="19"/>
  <c r="J21" i="19"/>
  <c r="J20" i="19"/>
  <c r="J17" i="19"/>
  <c r="J16" i="19"/>
  <c r="J13" i="19"/>
  <c r="J12" i="19"/>
  <c r="J9" i="19"/>
  <c r="J8" i="19"/>
  <c r="J5" i="19"/>
  <c r="J4" i="19"/>
  <c r="J280" i="19"/>
  <c r="J278" i="19"/>
  <c r="J289" i="19"/>
  <c r="J286" i="19"/>
  <c r="J285" i="19"/>
  <c r="J282" i="19"/>
  <c r="J281" i="19"/>
  <c r="J254" i="19"/>
  <c r="J3" i="1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Excel Pisteet" type="100" refreshedVersion="0">
    <extLst>
      <ext xmlns:x15="http://schemas.microsoft.com/office/spreadsheetml/2010/11/main" uri="{DE250136-89BD-433C-8126-D09CA5730AF9}">
        <x15:connection id="fbb20dd1-9ebb-4005-9c9e-9e19e44d8e32"/>
      </ext>
    </extLst>
  </connection>
  <connection id="2" xr16:uid="{00000000-0015-0000-FFFF-FFFF01000000}" name="Excel Seurat" type="100" refreshedVersion="0">
    <extLst>
      <ext xmlns:x15="http://schemas.microsoft.com/office/spreadsheetml/2010/11/main" uri="{DE250136-89BD-433C-8126-D09CA5730AF9}">
        <x15:connection id="2a6a10a7-3219-4948-b0ef-d3e7d129627a"/>
      </ext>
    </extLst>
  </connection>
  <connection id="3" xr16:uid="{00000000-0015-0000-FFFF-FFFF02000000}" keepAlive="1" name="ThisWorkbookDataModel" description="Tietomalli" type="5" refreshedVersion="7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<sst xmlns="http://schemas.openxmlformats.org/spreadsheetml/2006/main" count="3410" uniqueCount="697">
  <si>
    <t>Sija</t>
  </si>
  <si>
    <t>Pisteet</t>
  </si>
  <si>
    <t>Kilpailu</t>
  </si>
  <si>
    <t>Sarja</t>
  </si>
  <si>
    <t>Sijoitus</t>
  </si>
  <si>
    <t>Nimi</t>
  </si>
  <si>
    <t>Seura</t>
  </si>
  <si>
    <t>Maantie</t>
  </si>
  <si>
    <t>MU11</t>
  </si>
  <si>
    <t>Malm Leo</t>
  </si>
  <si>
    <t>Peltonen Bruno</t>
  </si>
  <si>
    <t>Holopainen Väinö</t>
  </si>
  <si>
    <t>MU13</t>
  </si>
  <si>
    <t>Lehtonen Veeti</t>
  </si>
  <si>
    <t>Turunen Ilmari</t>
  </si>
  <si>
    <t>Riutta Lenni</t>
  </si>
  <si>
    <t>Simola Eemeli</t>
  </si>
  <si>
    <t>NU11</t>
  </si>
  <si>
    <t>Varsamäki Elle</t>
  </si>
  <si>
    <t>NU13</t>
  </si>
  <si>
    <t>Kornijenko Katja</t>
  </si>
  <si>
    <t>Holopainen Viola</t>
  </si>
  <si>
    <t>Numminen Sanni-Sofia</t>
  </si>
  <si>
    <t>Hassinen Noora</t>
  </si>
  <si>
    <t>Varsamäki Neea</t>
  </si>
  <si>
    <t>MU15</t>
  </si>
  <si>
    <t>Ylipelkonen Samuli</t>
  </si>
  <si>
    <t>Vuorinen Roope</t>
  </si>
  <si>
    <t>Kornijenko Kuzma</t>
  </si>
  <si>
    <t>Laitila Eeli</t>
  </si>
  <si>
    <t>Riutta Arvi</t>
  </si>
  <si>
    <t>NU15</t>
  </si>
  <si>
    <t>Hassinen Sonja</t>
  </si>
  <si>
    <t>NU17</t>
  </si>
  <si>
    <t>Tuukkanen Sanni</t>
  </si>
  <si>
    <t>Suuronen Stella</t>
  </si>
  <si>
    <t>Alhonen Sofia</t>
  </si>
  <si>
    <t>MU17</t>
  </si>
  <si>
    <t>Kairikko Lauri</t>
  </si>
  <si>
    <t>Eskelinen Elias</t>
  </si>
  <si>
    <t>Pirinen Miko</t>
  </si>
  <si>
    <t>Mutanen Eino</t>
  </si>
  <si>
    <t>Vainio Viivi</t>
  </si>
  <si>
    <t>Liljeqvist Agnes</t>
  </si>
  <si>
    <t>Skutnabb Aaron</t>
  </si>
  <si>
    <t>Heinänen Eino</t>
  </si>
  <si>
    <t>Heinänen Henrik</t>
  </si>
  <si>
    <t>Borremans Mette</t>
  </si>
  <si>
    <t>Terho Niko</t>
  </si>
  <si>
    <t>Vainio Viljami</t>
  </si>
  <si>
    <t>Krogell Emil</t>
  </si>
  <si>
    <t>Holopainen Arttu</t>
  </si>
  <si>
    <t>Maasto</t>
  </si>
  <si>
    <t>Åkerman Ava</t>
  </si>
  <si>
    <t>Ylönen Edith</t>
  </si>
  <si>
    <t>Eskelinen Hilla</t>
  </si>
  <si>
    <t>Kirssi Antto</t>
  </si>
  <si>
    <t>Henriksson Tatu</t>
  </si>
  <si>
    <t>Henriksson Dani</t>
  </si>
  <si>
    <t>Eskelinen Aatos</t>
  </si>
  <si>
    <t>Kosunen Niilas</t>
  </si>
  <si>
    <t>Iivonen Anni</t>
  </si>
  <si>
    <t>Ylönen Luukas</t>
  </si>
  <si>
    <t>Koivula Lassi</t>
  </si>
  <si>
    <t>Ilmonen Väinö</t>
  </si>
  <si>
    <t>Nikotin Vitalii</t>
  </si>
  <si>
    <t>Ruonakoski Sampo</t>
  </si>
  <si>
    <t>Laapas Sulo</t>
  </si>
  <si>
    <t>Teronen Anni</t>
  </si>
  <si>
    <t>Lampila Veli</t>
  </si>
  <si>
    <t>Hongisto Eero</t>
  </si>
  <si>
    <t>Kangasluoma Väinö</t>
  </si>
  <si>
    <t>Hirvo Hannes</t>
  </si>
  <si>
    <t>Astikainen Oskari</t>
  </si>
  <si>
    <t>Lindberg Oiva</t>
  </si>
  <si>
    <t>Juntunen Niko</t>
  </si>
  <si>
    <t>Helander Niklas</t>
  </si>
  <si>
    <t>Leisti Johannes</t>
  </si>
  <si>
    <t>Skutnabb Alex</t>
  </si>
  <si>
    <t>Kaapu Oiva</t>
  </si>
  <si>
    <t>Suhonen Matias</t>
  </si>
  <si>
    <t>Malinen Konsta</t>
  </si>
  <si>
    <t>Nieminen Kasperi</t>
  </si>
  <si>
    <t>Lahtinen Sulo</t>
  </si>
  <si>
    <t>Kareisto Jaani</t>
  </si>
  <si>
    <t>Kanerva Sisu</t>
  </si>
  <si>
    <t>Pirinen Aleksi</t>
  </si>
  <si>
    <t>Sinkkonen Johannes</t>
  </si>
  <si>
    <t>Syrjänen Otto</t>
  </si>
  <si>
    <t>Enojärvi Aatu</t>
  </si>
  <si>
    <t>Bloigo Mattias</t>
  </si>
  <si>
    <t>Lepola Emma</t>
  </si>
  <si>
    <t>Martikainen Leevi</t>
  </si>
  <si>
    <t>Malinen Arttu</t>
  </si>
  <si>
    <t>Nieminen Santtu</t>
  </si>
  <si>
    <t>Nissinen Elmo</t>
  </si>
  <si>
    <t>Lahtinen Reima</t>
  </si>
  <si>
    <t>Tuomola Veikka</t>
  </si>
  <si>
    <t>Heikkinen Eeli</t>
  </si>
  <si>
    <t>Lepola Meija</t>
  </si>
  <si>
    <t>Åman Lassi</t>
  </si>
  <si>
    <t>Kupiainen Sylvi</t>
  </si>
  <si>
    <t>Kanerva Pipsa</t>
  </si>
  <si>
    <t>Kauniskangas Sara</t>
  </si>
  <si>
    <t>Kupiainen Sulo</t>
  </si>
  <si>
    <t>Vuorinen Samu</t>
  </si>
  <si>
    <t>Heikkinen Vilho</t>
  </si>
  <si>
    <t>Kauniskangas Lauri</t>
  </si>
  <si>
    <t>Ruonio Joel</t>
  </si>
  <si>
    <t>Eklund Oliver</t>
  </si>
  <si>
    <t>Luukkonen Ilmari</t>
  </si>
  <si>
    <t>Harakka Frans</t>
  </si>
  <si>
    <t>Ijäs Niilo</t>
  </si>
  <si>
    <t>Berg Kevin</t>
  </si>
  <si>
    <t>Kosunen Nuuti</t>
  </si>
  <si>
    <t>Hämäläinen Anton</t>
  </si>
  <si>
    <t>Viteli Linus</t>
  </si>
  <si>
    <t>Pirinen Anette</t>
  </si>
  <si>
    <t>Nevalainen Niilo</t>
  </si>
  <si>
    <t>Peltonen Frans</t>
  </si>
  <si>
    <t>Vuorisalo Erik</t>
  </si>
  <si>
    <t>Lahtinen Lenni</t>
  </si>
  <si>
    <t>Vuorisalo Iiris</t>
  </si>
  <si>
    <t>Lehtonen Teo</t>
  </si>
  <si>
    <t>Puttonen Leevi</t>
  </si>
  <si>
    <t>Länsikallio Ivar</t>
  </si>
  <si>
    <t>Nurminen Otto</t>
  </si>
  <si>
    <t>Jussila Veikka</t>
  </si>
  <si>
    <t>Wilenius Luka</t>
  </si>
  <si>
    <t>Olkinuora Onni</t>
  </si>
  <si>
    <t>Jokinen Elmo</t>
  </si>
  <si>
    <t>Latvio Aaro</t>
  </si>
  <si>
    <t>Pawlik Wojciech</t>
  </si>
  <si>
    <t>Latvio Iivo</t>
  </si>
  <si>
    <t>Venäläinen Leevi</t>
  </si>
  <si>
    <t>Ventola Aulis</t>
  </si>
  <si>
    <t>Karlsson Sulo</t>
  </si>
  <si>
    <t>Granberg Jeremia</t>
  </si>
  <si>
    <t>Tuovinen Juho</t>
  </si>
  <si>
    <t>Matikainen Tito</t>
  </si>
  <si>
    <t>Heimonen Eemeli</t>
  </si>
  <si>
    <t>Linna Samppa</t>
  </si>
  <si>
    <t>Ikonen Eeli</t>
  </si>
  <si>
    <t>Sirkiä Konsta</t>
  </si>
  <si>
    <t>Matikainen Eino</t>
  </si>
  <si>
    <t>Huikko Oskar</t>
  </si>
  <si>
    <t>Gillett Fionn</t>
  </si>
  <si>
    <t>Salenius Anton</t>
  </si>
  <si>
    <t>Granberg Isac</t>
  </si>
  <si>
    <t>Sanden Jonatan</t>
  </si>
  <si>
    <t>Lehtinen Matias</t>
  </si>
  <si>
    <t>Hukka Hermanni</t>
  </si>
  <si>
    <t>Heimonen Elsa</t>
  </si>
  <si>
    <t>Sirkiä Hilkka</t>
  </si>
  <si>
    <t>Niemelä Melina</t>
  </si>
  <si>
    <t>Loikas Charlotta</t>
  </si>
  <si>
    <t>Tuovinen Vieno</t>
  </si>
  <si>
    <t>Salonen Lydia</t>
  </si>
  <si>
    <t>Borremans Lotte</t>
  </si>
  <si>
    <t>Korpela Touko</t>
  </si>
  <si>
    <t>Holstikko Isla</t>
  </si>
  <si>
    <t>Rissanen Siiri</t>
  </si>
  <si>
    <t>Paavola Iida</t>
  </si>
  <si>
    <t>Niinikoski Lyyli</t>
  </si>
  <si>
    <t>Kalliomäki Ossi</t>
  </si>
  <si>
    <t>Blomback Saga</t>
  </si>
  <si>
    <t>Kinnari Linnea</t>
  </si>
  <si>
    <t>Pietilä Eddi</t>
  </si>
  <si>
    <t>GIF</t>
  </si>
  <si>
    <t>PoTa</t>
  </si>
  <si>
    <t>WWW</t>
  </si>
  <si>
    <t>Samppala Aapo</t>
  </si>
  <si>
    <t>KaKa</t>
  </si>
  <si>
    <t>Pietilä Eeda</t>
  </si>
  <si>
    <t>Samppala Vilma</t>
  </si>
  <si>
    <t>Jäväjä Sampo</t>
  </si>
  <si>
    <t>OTC</t>
  </si>
  <si>
    <t>RaKe</t>
  </si>
  <si>
    <t>Rideep</t>
  </si>
  <si>
    <t>TuUL</t>
  </si>
  <si>
    <t>Kopakkala Neo</t>
  </si>
  <si>
    <t>Similä Eeli</t>
  </si>
  <si>
    <t>Hyttinen Eeli</t>
  </si>
  <si>
    <t>Suomu Saana</t>
  </si>
  <si>
    <t>Laansoo Kaarel</t>
  </si>
  <si>
    <t>Kiis Isabel</t>
  </si>
  <si>
    <t>Lensment Linda</t>
  </si>
  <si>
    <t>Suomu Sanni</t>
  </si>
  <si>
    <t>Hynninen Richard</t>
  </si>
  <si>
    <t>Kaarjärv Mairit</t>
  </si>
  <si>
    <t>Orvola Stella</t>
  </si>
  <si>
    <t>Karsikas Petteri</t>
  </si>
  <si>
    <t>Karsikas Einari</t>
  </si>
  <si>
    <t>Veijalainen Samu</t>
  </si>
  <si>
    <t>Häyrinen Aarni</t>
  </si>
  <si>
    <t>Karsikas Ilmari</t>
  </si>
  <si>
    <t>Toivonen Veikka</t>
  </si>
  <si>
    <t>Kapanen Elisabet</t>
  </si>
  <si>
    <t>Oilinki Joona</t>
  </si>
  <si>
    <t>Määttä Hilla</t>
  </si>
  <si>
    <t>Posio Niilas</t>
  </si>
  <si>
    <t>Häikiö Aaro</t>
  </si>
  <si>
    <t>Posio Pyry</t>
  </si>
  <si>
    <t>Määttä Malla</t>
  </si>
  <si>
    <t>Tapio Joel</t>
  </si>
  <si>
    <t>Niku Veikka</t>
  </si>
  <si>
    <t>Autio Elias</t>
  </si>
  <si>
    <t>Reijonen Saku</t>
  </si>
  <si>
    <t>Lehtonen Eemeli</t>
  </si>
  <si>
    <t>Pietilä Anni</t>
  </si>
  <si>
    <t>Oja Lotta</t>
  </si>
  <si>
    <t>Vainio Aapo</t>
  </si>
  <si>
    <t>Jäväjä Sisu</t>
  </si>
  <si>
    <t>Pietilä Peetu</t>
  </si>
  <si>
    <t>Niku Jouka</t>
  </si>
  <si>
    <t>Vainio Maisa</t>
  </si>
  <si>
    <t>Timmerbacka Niila</t>
  </si>
  <si>
    <t>Raudaskoski Eino</t>
  </si>
  <si>
    <t>Känsäkangas Allu</t>
  </si>
  <si>
    <t>Gerards Jasper</t>
  </si>
  <si>
    <t>Vertanen Mona</t>
  </si>
  <si>
    <t>Kullberg Martin</t>
  </si>
  <si>
    <t>Oksanen Konsta</t>
  </si>
  <si>
    <t>Tapio Lauri</t>
  </si>
  <si>
    <t>Siurua Emma</t>
  </si>
  <si>
    <t>Haapoja Enni</t>
  </si>
  <si>
    <t>Haapoja Oliver</t>
  </si>
  <si>
    <t>Iivonen Oiva</t>
  </si>
  <si>
    <t>Häkämies Venla</t>
  </si>
  <si>
    <t>Rata</t>
  </si>
  <si>
    <t>THOMAS Edward</t>
  </si>
  <si>
    <t>SIRÉN Silja</t>
  </si>
  <si>
    <t>Nevalainen Nea</t>
  </si>
  <si>
    <t>Laine Miska</t>
  </si>
  <si>
    <t>Väänänen Lenni</t>
  </si>
  <si>
    <t>Kajasoja Olivia</t>
  </si>
  <si>
    <t>Helmi Emilia</t>
  </si>
  <si>
    <t>Kapanen Edvard</t>
  </si>
  <si>
    <t>Thomas Edward</t>
  </si>
  <si>
    <t>Turunen Akseli</t>
  </si>
  <si>
    <t>Vehviläinen Petja</t>
  </si>
  <si>
    <t>Vasankari Otto</t>
  </si>
  <si>
    <t>Björk Viktor</t>
  </si>
  <si>
    <t>Kurikka Emil</t>
  </si>
  <si>
    <t>Kellokangas Nuutti</t>
  </si>
  <si>
    <t>Ödling Björk Valter</t>
  </si>
  <si>
    <t>Vasankari Seela</t>
  </si>
  <si>
    <t>Alatalo Elsa</t>
  </si>
  <si>
    <t>Vasankari Eeli</t>
  </si>
  <si>
    <t>Haataja Vili</t>
  </si>
  <si>
    <t>Pietilä Lumi</t>
  </si>
  <si>
    <t>Haataja Lilli</t>
  </si>
  <si>
    <t>Luukkonen Aleksi</t>
  </si>
  <si>
    <t>Karsikas Olavi</t>
  </si>
  <si>
    <t>Jurvelin Iina</t>
  </si>
  <si>
    <t xml:space="preserve">n
e
n
</t>
  </si>
  <si>
    <t>Hintikka Kauri</t>
  </si>
  <si>
    <t>Sarake1</t>
  </si>
  <si>
    <t>Aittakorpi Ante</t>
  </si>
  <si>
    <t>Alaluusua Rene</t>
  </si>
  <si>
    <t>TVC</t>
  </si>
  <si>
    <t>IK-32</t>
  </si>
  <si>
    <t>Arminen Anton</t>
  </si>
  <si>
    <t>KorsKa</t>
  </si>
  <si>
    <t>Aspholm Finley</t>
  </si>
  <si>
    <t>Akilles</t>
  </si>
  <si>
    <t>LrPy</t>
  </si>
  <si>
    <t>Ei SP jäsenseura</t>
  </si>
  <si>
    <t>TY</t>
  </si>
  <si>
    <t>Borremans Kasper</t>
  </si>
  <si>
    <t>Carstens Erin</t>
  </si>
  <si>
    <t>CCH</t>
  </si>
  <si>
    <t>Ekman Iris</t>
  </si>
  <si>
    <t>MTBCF ry</t>
  </si>
  <si>
    <t>TCC</t>
  </si>
  <si>
    <t>Ei seuraa</t>
  </si>
  <si>
    <t>Golubkova Varvara</t>
  </si>
  <si>
    <t>UP</t>
  </si>
  <si>
    <t>OPP</t>
  </si>
  <si>
    <t>Hakala Mari</t>
  </si>
  <si>
    <t>Halminen Iiro</t>
  </si>
  <si>
    <t>HyPy</t>
  </si>
  <si>
    <t>JäPy</t>
  </si>
  <si>
    <t>Heikkinen Iiris</t>
  </si>
  <si>
    <t>Heikkinen Inari</t>
  </si>
  <si>
    <t>Iivari mty</t>
  </si>
  <si>
    <t>Heiskanen Tuomo</t>
  </si>
  <si>
    <t>HHCMB</t>
  </si>
  <si>
    <t>Helenius Olli</t>
  </si>
  <si>
    <t>Hilli Timi</t>
  </si>
  <si>
    <t>Hintikka Elias</t>
  </si>
  <si>
    <t>Hintikka Niila</t>
  </si>
  <si>
    <t>VlkMTB</t>
  </si>
  <si>
    <t>Hirvonen Joona</t>
  </si>
  <si>
    <t>Holopainen Alex</t>
  </si>
  <si>
    <t>KoiI</t>
  </si>
  <si>
    <t>Holstikko Fiona</t>
  </si>
  <si>
    <t>PKK</t>
  </si>
  <si>
    <t>ProMTB</t>
  </si>
  <si>
    <t xml:space="preserve">LrPy </t>
  </si>
  <si>
    <t>Honkaniemi Lenni</t>
  </si>
  <si>
    <t>Huhtala Veikko</t>
  </si>
  <si>
    <t>Huttunen Ilmari</t>
  </si>
  <si>
    <t>Huusko Jimi</t>
  </si>
  <si>
    <t>EST</t>
  </si>
  <si>
    <t>Hyytiäinen Joona</t>
  </si>
  <si>
    <t>Hyytiäinen Miika</t>
  </si>
  <si>
    <t>Häkkinen Eepi</t>
  </si>
  <si>
    <t>Haukivuoren Kisailijat</t>
  </si>
  <si>
    <t>Häkämies Eero</t>
  </si>
  <si>
    <t>JYPS</t>
  </si>
  <si>
    <t>RedRock Cycling Club</t>
  </si>
  <si>
    <t>JoensPy</t>
  </si>
  <si>
    <t>LaPy</t>
  </si>
  <si>
    <t>Jaakkola Jooa</t>
  </si>
  <si>
    <t>Jaakonsaari Eino</t>
  </si>
  <si>
    <t>Team Super Idol</t>
  </si>
  <si>
    <t>Jaakonsaari Roope</t>
  </si>
  <si>
    <t>Jalonen Viljami</t>
  </si>
  <si>
    <t>Jamal Hussein</t>
  </si>
  <si>
    <t>Jordas Ellen</t>
  </si>
  <si>
    <t>Jyrämö Jenna</t>
  </si>
  <si>
    <t>Järvinen Kerttu</t>
  </si>
  <si>
    <t>Jämsänkoski</t>
  </si>
  <si>
    <t>Kahelin Jasu</t>
  </si>
  <si>
    <t>Jyväskylä</t>
  </si>
  <si>
    <t xml:space="preserve">Kangasluoma Väinö </t>
  </si>
  <si>
    <t>Karimies Toivo</t>
  </si>
  <si>
    <t>Karislahti Aapeli</t>
  </si>
  <si>
    <t>PyöRi</t>
  </si>
  <si>
    <t>Karvonen Matilda</t>
  </si>
  <si>
    <t>Espoon Hiihtoseura</t>
  </si>
  <si>
    <t>Keskiaho Saku</t>
  </si>
  <si>
    <t>BMXH</t>
  </si>
  <si>
    <t>Keskiaho Salla</t>
  </si>
  <si>
    <t>JurU</t>
  </si>
  <si>
    <t>kirjonen Jaakko</t>
  </si>
  <si>
    <t>KoPy</t>
  </si>
  <si>
    <t>Kohtala Kalle</t>
  </si>
  <si>
    <t>Koivu Väinö</t>
  </si>
  <si>
    <t>Koivula Ella</t>
  </si>
  <si>
    <t>Koski Juuso</t>
  </si>
  <si>
    <t>Ylistaron Kilpa-veljet</t>
  </si>
  <si>
    <t>Rake</t>
  </si>
  <si>
    <t>Koukkula Pauli</t>
  </si>
  <si>
    <t>Paksukumi Team</t>
  </si>
  <si>
    <t>Kronholm Wiliam</t>
  </si>
  <si>
    <t>Larsmo IF</t>
  </si>
  <si>
    <t>Kuitto Miska</t>
  </si>
  <si>
    <t>Orbea Finland</t>
  </si>
  <si>
    <t>IU</t>
  </si>
  <si>
    <t>Kumlander Otto</t>
  </si>
  <si>
    <t>Kurikka Racing</t>
  </si>
  <si>
    <t>Kurth Rasmus</t>
  </si>
  <si>
    <t>Kuusisto Sebastian</t>
  </si>
  <si>
    <t>Kylmäaho Tiitus</t>
  </si>
  <si>
    <t>Kylmäaho Tuukka</t>
  </si>
  <si>
    <t>Kylmäniemi Kalle</t>
  </si>
  <si>
    <t>Külv Kert</t>
  </si>
  <si>
    <t>Tartu ülikooli akateemiline spordiklubi</t>
  </si>
  <si>
    <t>Källberg Ivar</t>
  </si>
  <si>
    <t>Kraft</t>
  </si>
  <si>
    <t>Källström Henri</t>
  </si>
  <si>
    <t>Triathlon Vantaa</t>
  </si>
  <si>
    <t>Laakkonen Lilia</t>
  </si>
  <si>
    <t>Laakkonen Lumia</t>
  </si>
  <si>
    <t>Lahti Eeti</t>
  </si>
  <si>
    <t>Lahtinen Lauri</t>
  </si>
  <si>
    <t>Laine Nooa</t>
  </si>
  <si>
    <t>Espoon Tapiot</t>
  </si>
  <si>
    <t>Laine Rebekka</t>
  </si>
  <si>
    <t>Lampi Amos</t>
  </si>
  <si>
    <t>Lampi Noel</t>
  </si>
  <si>
    <t>Lampila Visa</t>
  </si>
  <si>
    <t>ProMtb</t>
  </si>
  <si>
    <t>Lankinen Daniel</t>
  </si>
  <si>
    <t>Lemmetti Jesse</t>
  </si>
  <si>
    <t>Kymi Anti-Flow</t>
  </si>
  <si>
    <t>Kalevi Jalgrattakool</t>
  </si>
  <si>
    <t>Lempäälä</t>
  </si>
  <si>
    <t>CC Ilves</t>
  </si>
  <si>
    <t>Lepola Milja</t>
  </si>
  <si>
    <t>CCIlves</t>
  </si>
  <si>
    <t>Leskelä Riku</t>
  </si>
  <si>
    <t>NJS</t>
  </si>
  <si>
    <t>Lindroos Onni</t>
  </si>
  <si>
    <t>Liukkonen Sonja</t>
  </si>
  <si>
    <t>Loukko Elli</t>
  </si>
  <si>
    <t>Loukko Iivari</t>
  </si>
  <si>
    <t>Luttinen Väinö</t>
  </si>
  <si>
    <t>Lyyrtö Leevi</t>
  </si>
  <si>
    <t>Metsola Oiva</t>
  </si>
  <si>
    <t>Metsomäki Olli</t>
  </si>
  <si>
    <t>Miikki Eino</t>
  </si>
  <si>
    <t>TaiTä</t>
  </si>
  <si>
    <t>Mustikkamaa Salla</t>
  </si>
  <si>
    <t>Mäkinen Peetu</t>
  </si>
  <si>
    <t>Nevalainen Aapo</t>
  </si>
  <si>
    <t>Nevalainen Niklas</t>
  </si>
  <si>
    <t>KangKi</t>
  </si>
  <si>
    <t>Nevalainen Oona</t>
  </si>
  <si>
    <t>Nikkilä Elias</t>
  </si>
  <si>
    <t>KäTa</t>
  </si>
  <si>
    <t>Nissinen Kauri</t>
  </si>
  <si>
    <t>Numminen Sanni</t>
  </si>
  <si>
    <t>Nurminen Väinö</t>
  </si>
  <si>
    <t>Oja-Nisula Niilo</t>
  </si>
  <si>
    <t>RMTB</t>
  </si>
  <si>
    <t>Paananen Julius</t>
  </si>
  <si>
    <t>Peltonen Jaakko</t>
  </si>
  <si>
    <t>Piittinen Jonatan</t>
  </si>
  <si>
    <t>Posio Tuukka</t>
  </si>
  <si>
    <t xml:space="preserve">Posio Tuukka </t>
  </si>
  <si>
    <t>Rannila Niklas</t>
  </si>
  <si>
    <t>Rantaiso Eemeli</t>
  </si>
  <si>
    <t>Reiju Aleksi</t>
  </si>
  <si>
    <t>TaBC</t>
  </si>
  <si>
    <t>Rose Antoni</t>
  </si>
  <si>
    <t>IisVi</t>
  </si>
  <si>
    <t>TriVa</t>
  </si>
  <si>
    <t>Ruotsalainen Eemeli</t>
  </si>
  <si>
    <t>Team Pyöräliike Varustamo</t>
  </si>
  <si>
    <t>Ruotsalainen Lilja</t>
  </si>
  <si>
    <t>Saarelainen Lenny</t>
  </si>
  <si>
    <t>Saari Jaakko</t>
  </si>
  <si>
    <t>Saari Leo</t>
  </si>
  <si>
    <t>Salmela Eemeli</t>
  </si>
  <si>
    <t>Salonen Jooa</t>
  </si>
  <si>
    <t>Tampere</t>
  </si>
  <si>
    <t>Vantaan Hiihtoseura</t>
  </si>
  <si>
    <t>Salonen Valtteri</t>
  </si>
  <si>
    <t>Sankinen Silva</t>
  </si>
  <si>
    <t>Selvenius Severi</t>
  </si>
  <si>
    <t>Team EVOC Finland</t>
  </si>
  <si>
    <t>Simola Luukas</t>
  </si>
  <si>
    <t>Sirén Silja</t>
  </si>
  <si>
    <t>Sorvisto Pekka</t>
  </si>
  <si>
    <t>Stammeier Arttu</t>
  </si>
  <si>
    <t>Suikki Tuomas</t>
  </si>
  <si>
    <t>Sundkvist William</t>
  </si>
  <si>
    <t xml:space="preserve">Sundkvist William </t>
  </si>
  <si>
    <t>Sundqvist William</t>
  </si>
  <si>
    <t>Syrjänen Racing</t>
  </si>
  <si>
    <t>Tenhunen Santeri</t>
  </si>
  <si>
    <t>Teppo Petja</t>
  </si>
  <si>
    <t>Terhelä Valtteri</t>
  </si>
  <si>
    <t>Terho Erika</t>
  </si>
  <si>
    <t>Terho Jessica</t>
  </si>
  <si>
    <t>Tervakangas Ronja</t>
  </si>
  <si>
    <t>Thomas Aava</t>
  </si>
  <si>
    <t>EBC</t>
  </si>
  <si>
    <t>Toivonen Nuutti</t>
  </si>
  <si>
    <t>O2</t>
  </si>
  <si>
    <t>Tonteri Maini</t>
  </si>
  <si>
    <t>Team Vastapaine</t>
  </si>
  <si>
    <t>Träskelin Pontus</t>
  </si>
  <si>
    <t>Tuomi Niilo</t>
  </si>
  <si>
    <t>Tuomi Onni</t>
  </si>
  <si>
    <t>Tuoriniemi Ilari</t>
  </si>
  <si>
    <t>Turpeinen Viivi</t>
  </si>
  <si>
    <t>MoFi</t>
  </si>
  <si>
    <t>Turunen Leo</t>
  </si>
  <si>
    <t>Turunen Onni</t>
  </si>
  <si>
    <t>MUUTA NIMI ILMARIKSI</t>
  </si>
  <si>
    <t>GiF</t>
  </si>
  <si>
    <t>Valkonen Leo</t>
  </si>
  <si>
    <t>Alppikanuunat</t>
  </si>
  <si>
    <t>Valli Samir</t>
  </si>
  <si>
    <t>Varsamäki Emma</t>
  </si>
  <si>
    <t>VeloSaimaa</t>
  </si>
  <si>
    <t>Vertanen Justus</t>
  </si>
  <si>
    <t>Vertanen Tiitus</t>
  </si>
  <si>
    <t>Vesalo Viljami</t>
  </si>
  <si>
    <t>KuoPys</t>
  </si>
  <si>
    <t>Visti Julius</t>
  </si>
  <si>
    <t>MTB-P</t>
  </si>
  <si>
    <t>WaasaWW</t>
  </si>
  <si>
    <t>Vuorio René</t>
  </si>
  <si>
    <t>Vänskä Juuso</t>
  </si>
  <si>
    <t>Väyrynen Viljami</t>
  </si>
  <si>
    <t>Yli-Karjanmaa Leo</t>
  </si>
  <si>
    <t>Ylinenpää Joona</t>
  </si>
  <si>
    <t>Ylipelkonen Aatu</t>
  </si>
  <si>
    <t>Ylitervo Onni</t>
  </si>
  <si>
    <t>Yrjänäinen Eelis</t>
  </si>
  <si>
    <t>SK Gränsen</t>
  </si>
  <si>
    <t>OP-P</t>
  </si>
  <si>
    <t>Summa  / Pisteet</t>
  </si>
  <si>
    <t>Kaikki yhteensä</t>
  </si>
  <si>
    <t>Kilpailut</t>
  </si>
  <si>
    <t xml:space="preserve">                                                 </t>
  </si>
  <si>
    <t>XCC-SM</t>
  </si>
  <si>
    <t>XCO-SM</t>
  </si>
  <si>
    <t>Yht.</t>
  </si>
  <si>
    <t>M-10</t>
  </si>
  <si>
    <t>M-12</t>
  </si>
  <si>
    <t>M-14</t>
  </si>
  <si>
    <t>M-16</t>
  </si>
  <si>
    <t>N-12</t>
  </si>
  <si>
    <t>N-14</t>
  </si>
  <si>
    <t>N-16</t>
  </si>
  <si>
    <t>Riviotsikot</t>
  </si>
  <si>
    <t>KokonaisCup</t>
  </si>
  <si>
    <t>1. Kopioi tuloksista tiedot DATA taulukkoon. Katso mallia edellisistä. Nimet muodossa Sukunimi + Etunimi</t>
  </si>
  <si>
    <t>2. Päivitä Pivot-taulukko</t>
  </si>
  <si>
    <t>3. Kopioi Pivot taulukon tiedot haluttuun cup-taulukkoon. Suodata pivot siten että näkyvissä on sen cupin pistett jotka haluat kopioida.</t>
  </si>
  <si>
    <t>4. Lisää Kilpailu ja upota siihen tuloslinkki ajetut kilpailut kohtaan pistetaulukon alkuun.</t>
  </si>
  <si>
    <t>5. Lisää tyhjät rivit sarjojen väleihin.</t>
  </si>
  <si>
    <t>6. Lisää uudet ajajat Seurat sivulle. Seura haetaan automaattisesti taulukkoon. JOs seuraa ei löydy taulukosta, ruutuun tulee 0 tai #puuttuu</t>
  </si>
  <si>
    <t xml:space="preserve">Tulosta *.pdf. </t>
  </si>
  <si>
    <t>Nimeäminen:</t>
  </si>
  <si>
    <t>KK-MaantieCUP</t>
  </si>
  <si>
    <t>KK-MaastoCUP</t>
  </si>
  <si>
    <t>KK-KokonaisCUP</t>
  </si>
  <si>
    <t>Mitallikuvake lopullisiin tuloksiin</t>
  </si>
  <si>
    <t>ISM aika-ajo rata</t>
  </si>
  <si>
    <t>N-10</t>
  </si>
  <si>
    <t>ISM takaa-ajo</t>
  </si>
  <si>
    <t>ISM aika-ajo</t>
  </si>
  <si>
    <t>ISM maantie</t>
  </si>
  <si>
    <t>Vantaan Vuorikauriit</t>
  </si>
  <si>
    <t>Uuskoski Kiira</t>
  </si>
  <si>
    <t>Hollmen Ilona</t>
  </si>
  <si>
    <t>Mäkelä Miko</t>
  </si>
  <si>
    <t>Laine Alpo</t>
  </si>
  <si>
    <t>CX</t>
  </si>
  <si>
    <t>Mikkelin Hiihtäjät</t>
  </si>
  <si>
    <t>Pirkkala</t>
  </si>
  <si>
    <t>Ylöjärven Ryhti</t>
  </si>
  <si>
    <t>Laitinen Roope</t>
  </si>
  <si>
    <t>Junnila Ilmari</t>
  </si>
  <si>
    <t>Vuorinen Miki</t>
  </si>
  <si>
    <t>Haapakari Ilona</t>
  </si>
  <si>
    <t>Ranta Kerttu</t>
  </si>
  <si>
    <t>Laji</t>
  </si>
  <si>
    <t>Onnittelut menestyneille ja kiitos seurallenne pyöräilyn eteen tehdystä juniorityöstä.</t>
  </si>
  <si>
    <t xml:space="preserve">Hei. Tässä mitalit Suomen Pyöräilyn Kultainen Kampi -cupissa menestyneille junioreille. </t>
  </si>
  <si>
    <t>Valitettavasti nuorisojaostolla ei ole resursseja järjestää valtakunnallista</t>
  </si>
  <si>
    <t>palkintojen jakoa, mutta toivomme että jaatte mitalit sopivan juhlallisessa seuran yhteisessä tilaisuudessa.</t>
  </si>
  <si>
    <t>Suomen Pyöräily, Nuorisojaosto. / Vesa Laapas vesa.laapas@pyoraily.fi</t>
  </si>
  <si>
    <t>Hollmén Jalo</t>
  </si>
  <si>
    <t>Hollmén Eino</t>
  </si>
  <si>
    <t>Mitsui Jooa</t>
  </si>
  <si>
    <t>Wiik Iiris</t>
  </si>
  <si>
    <t>Wiik Iida</t>
  </si>
  <si>
    <t>Sanford Lilia</t>
  </si>
  <si>
    <t xml:space="preserve"> </t>
  </si>
  <si>
    <t>XCO</t>
  </si>
  <si>
    <t>XCC</t>
  </si>
  <si>
    <t>IndXCO</t>
  </si>
  <si>
    <t>PstXCO</t>
  </si>
  <si>
    <t>IndXCC</t>
  </si>
  <si>
    <t>PstXCC</t>
  </si>
  <si>
    <t>N40</t>
  </si>
  <si>
    <t>Orvola Sari</t>
  </si>
  <si>
    <t>Pirhonen Marja</t>
  </si>
  <si>
    <t>Mielonen Noora</t>
  </si>
  <si>
    <t>Perälä Suvi</t>
  </si>
  <si>
    <t>Hernetkoski Hanna</t>
  </si>
  <si>
    <t>Kylmäniemi Heli</t>
  </si>
  <si>
    <t>Tapio Anni</t>
  </si>
  <si>
    <t>Häkkinen Kaisla</t>
  </si>
  <si>
    <t>Nurminen Kaarina</t>
  </si>
  <si>
    <t>Kanerva Noora</t>
  </si>
  <si>
    <t>Kansikas Sofia</t>
  </si>
  <si>
    <t>Juntunen Antti-Jussi</t>
  </si>
  <si>
    <t>Heikkilä Niko</t>
  </si>
  <si>
    <t>Haga Andre</t>
  </si>
  <si>
    <t>Lehtinen Sakari</t>
  </si>
  <si>
    <t>Rantanen Aksel</t>
  </si>
  <si>
    <t>Simonen Niklas</t>
  </si>
  <si>
    <t>Kareisto Jeehu</t>
  </si>
  <si>
    <t>Kenttämies Eevert</t>
  </si>
  <si>
    <t>M40</t>
  </si>
  <si>
    <t>Kupiainen Mikko</t>
  </si>
  <si>
    <t>Nieminen Pekka</t>
  </si>
  <si>
    <t>Sairanen Iiro</t>
  </si>
  <si>
    <t>Väänänen Heikki</t>
  </si>
  <si>
    <t>Kosonen Antti</t>
  </si>
  <si>
    <t>Niskakangas Heikki</t>
  </si>
  <si>
    <t>Liljeqvist Dan</t>
  </si>
  <si>
    <t>Laitila Veikko</t>
  </si>
  <si>
    <t>Timmerbacka Juhani</t>
  </si>
  <si>
    <t>Laulumaa Samuli</t>
  </si>
  <si>
    <t>M50</t>
  </si>
  <si>
    <t>Parkkinen Markus</t>
  </si>
  <si>
    <t>Hakala Arto</t>
  </si>
  <si>
    <t>Mursu Jaakko</t>
  </si>
  <si>
    <t>Terhelä Mika</t>
  </si>
  <si>
    <t>Rantanen Annika</t>
  </si>
  <si>
    <t>Alusniemi Sini</t>
  </si>
  <si>
    <t>Pökälä Samuel</t>
  </si>
  <si>
    <t>Häkkinen Santeri</t>
  </si>
  <si>
    <t>Tuppurainen Ville</t>
  </si>
  <si>
    <t>Koivisto Antti-Ville</t>
  </si>
  <si>
    <t>Hartikainen Juuso</t>
  </si>
  <si>
    <t>Kuitunen Hanna Elina</t>
  </si>
  <si>
    <t>Heinikainen Jari</t>
  </si>
  <si>
    <t>Aspholm Roger</t>
  </si>
  <si>
    <t>Vainio Panu</t>
  </si>
  <si>
    <t>Koimäki Hannu</t>
  </si>
  <si>
    <t>Visuri Samuli</t>
  </si>
  <si>
    <t>Kouva Antti</t>
  </si>
  <si>
    <t>Pulkkinen Aki</t>
  </si>
  <si>
    <t>Halonen Ville</t>
  </si>
  <si>
    <t>Hesso Johannes</t>
  </si>
  <si>
    <t>Espo Tommi</t>
  </si>
  <si>
    <t>Tästä alkaa aikuisten sarjat</t>
  </si>
  <si>
    <t>IBD</t>
  </si>
  <si>
    <t>Härginen Daniil</t>
  </si>
  <si>
    <t>Karsikas Ilkka</t>
  </si>
  <si>
    <t>Näkkilä Nico</t>
  </si>
  <si>
    <t>N40 Summa</t>
  </si>
  <si>
    <t>M40 Summa</t>
  </si>
  <si>
    <t>M50 Summa</t>
  </si>
  <si>
    <t>Kaava seuran hakemiseen Seurat taulukosta</t>
  </si>
  <si>
    <t>Kaavassa VASTINE jälkeen sulkuihin tulee solu missä on ajajan nimi.</t>
  </si>
  <si>
    <t>Kaava hakee automaattisesti Seurat välilehdeltä ajajalle seuran.</t>
  </si>
  <si>
    <t>Esimerkki:</t>
  </si>
  <si>
    <t>XCO-CUP 2024</t>
  </si>
  <si>
    <t>Suomen Pyöräily</t>
  </si>
  <si>
    <t>XCO-CUP internet-sivusto</t>
  </si>
  <si>
    <t>Hyvinkää XCO</t>
  </si>
  <si>
    <t>Mäkinen Sanna</t>
  </si>
  <si>
    <t>RSR</t>
  </si>
  <si>
    <t>Häkkinen Hanna</t>
  </si>
  <si>
    <t>Utkin Mikhail</t>
  </si>
  <si>
    <t>Kleemola Joona</t>
  </si>
  <si>
    <t>TWD-Länken</t>
  </si>
  <si>
    <t>Suomalainen Tuomas</t>
  </si>
  <si>
    <t>Hypy</t>
  </si>
  <si>
    <t>Malm Mika</t>
  </si>
  <si>
    <t>Korpela Aki</t>
  </si>
  <si>
    <t>Laine Mikko</t>
  </si>
  <si>
    <t>Cycli XCO</t>
  </si>
  <si>
    <t>Kokkola MTB XCC</t>
  </si>
  <si>
    <t>Kokkola MTB XCO</t>
  </si>
  <si>
    <t>Korsisaari XCO</t>
  </si>
  <si>
    <t>Rovaniemi XCC</t>
  </si>
  <si>
    <t>Cycli-XCO</t>
  </si>
  <si>
    <t>Savaste Joni</t>
  </si>
  <si>
    <t>Ristimäki Juha</t>
  </si>
  <si>
    <t>Granberg Isaac</t>
  </si>
  <si>
    <t>Ristimäki juha</t>
  </si>
  <si>
    <t>Palaute: vesa.laapas@pyoraily.fi</t>
  </si>
  <si>
    <t>MU19</t>
  </si>
  <si>
    <t>NU19</t>
  </si>
  <si>
    <t>RaKe / Team Evoc</t>
  </si>
  <si>
    <t>GIF / Prorog MTB Team</t>
  </si>
  <si>
    <t>NU19 Summa</t>
  </si>
  <si>
    <t>MU19 Summa</t>
  </si>
  <si>
    <t>3.Köykäri XCC</t>
  </si>
  <si>
    <t>Vainio Mikko</t>
  </si>
  <si>
    <t>Kaarjärv Maris</t>
  </si>
  <si>
    <t>Åkerman Tord</t>
  </si>
  <si>
    <t>Niku Jussi</t>
  </si>
  <si>
    <t>4.Köykäri XCO</t>
  </si>
  <si>
    <t>Lipponen Aatu</t>
  </si>
  <si>
    <t>Härginen Dani</t>
  </si>
  <si>
    <t>Tikkala Arto</t>
  </si>
  <si>
    <t>Eskelinen Annika</t>
  </si>
  <si>
    <t>N50</t>
  </si>
  <si>
    <t>Hildén Tiina</t>
  </si>
  <si>
    <t>Havana Henna-Mari</t>
  </si>
  <si>
    <t>Saarela Ruska</t>
  </si>
  <si>
    <t>Snäll Astrid</t>
  </si>
  <si>
    <t>Johansson Idamari</t>
  </si>
  <si>
    <t>Halme Samuel</t>
  </si>
  <si>
    <t>Ahtosalo Matias</t>
  </si>
  <si>
    <t>Kuusniemi Kalle</t>
  </si>
  <si>
    <t>5. XCC-SM</t>
  </si>
  <si>
    <t>Laakkonen Katariina</t>
  </si>
  <si>
    <t>M60</t>
  </si>
  <si>
    <t>Sammalisto Pekka</t>
  </si>
  <si>
    <t>Rusanen Riikka</t>
  </si>
  <si>
    <t>Miettinen Olli</t>
  </si>
  <si>
    <t>Havana Juha</t>
  </si>
  <si>
    <t>Stenmark Mattias</t>
  </si>
  <si>
    <t>Nurminen Ilkka</t>
  </si>
  <si>
    <t>Viro</t>
  </si>
  <si>
    <t>MSR</t>
  </si>
  <si>
    <t>PVCC</t>
  </si>
  <si>
    <t>N-Elite</t>
  </si>
  <si>
    <t>M-Elite</t>
  </si>
  <si>
    <t>6. XCO-SM</t>
  </si>
  <si>
    <t>N-Elite Summa</t>
  </si>
  <si>
    <t>M-Elite Summa</t>
  </si>
  <si>
    <t>N50 Summa</t>
  </si>
  <si>
    <t>M60 Summa</t>
  </si>
  <si>
    <t>7. Korsisaari</t>
  </si>
  <si>
    <t>Pelkonen Ville</t>
  </si>
  <si>
    <t>Kuitto Antti</t>
  </si>
  <si>
    <t>8. Rovaniemi</t>
  </si>
  <si>
    <t>Halme Sasu</t>
  </si>
  <si>
    <t>Terävä Simo</t>
  </si>
  <si>
    <t>Jordan Ellen</t>
  </si>
  <si>
    <t>Tästä eteenpäin kaikille maaliin tulleille 1 piste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</si>
</sst>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u/>
      <sz val="11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5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1" applyBorder="1" applyAlignment="1">
      <alignment horizontal="center"/>
    </xf>
    <xf numFmtId="0" fontId="0" fillId="0" borderId="0" xfId="0" pivotButton="1"/>
    <xf numFmtId="0" fontId="2" fillId="3" borderId="1" xfId="0" applyFont="1" applyFill="1" applyBorder="1"/>
    <xf numFmtId="0" fontId="2" fillId="0" borderId="1" xfId="0" applyFont="1" applyBorder="1"/>
    <xf numFmtId="0" fontId="0" fillId="2" borderId="3" xfId="0" applyFill="1" applyBorder="1"/>
    <xf numFmtId="0" fontId="0" fillId="2" borderId="2" xfId="0" applyFill="1" applyBorder="1"/>
    <xf numFmtId="0" fontId="6" fillId="2" borderId="2" xfId="0" applyFont="1" applyFill="1" applyBorder="1"/>
    <xf numFmtId="21" fontId="6" fillId="2" borderId="2" xfId="0" applyNumberFormat="1" applyFont="1" applyFill="1" applyBorder="1"/>
    <xf numFmtId="0" fontId="0" fillId="0" borderId="3" xfId="0" applyBorder="1"/>
    <xf numFmtId="0" fontId="0" fillId="0" borderId="2" xfId="0" applyBorder="1"/>
    <xf numFmtId="0" fontId="6" fillId="0" borderId="2" xfId="0" applyFont="1" applyBorder="1"/>
    <xf numFmtId="21" fontId="6" fillId="0" borderId="2" xfId="0" applyNumberFormat="1" applyFont="1" applyBorder="1"/>
    <xf numFmtId="0" fontId="0" fillId="0" borderId="0" xfId="0" applyAlignment="1">
      <alignment wrapText="1"/>
    </xf>
    <xf numFmtId="0" fontId="2" fillId="3" borderId="1" xfId="0" applyFont="1" applyFill="1" applyBorder="1" applyAlignment="1">
      <alignment horizontal="right"/>
    </xf>
    <xf numFmtId="0" fontId="7" fillId="0" borderId="0" xfId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1" applyBorder="1" applyAlignment="1">
      <alignment horizontal="center" wrapText="1"/>
    </xf>
    <xf numFmtId="0" fontId="5" fillId="0" borderId="0" xfId="0" applyFont="1" applyAlignment="1">
      <alignment wrapText="1"/>
    </xf>
    <xf numFmtId="0" fontId="4" fillId="0" borderId="0" xfId="2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1" applyBorder="1" applyAlignment="1"/>
    <xf numFmtId="0" fontId="5" fillId="0" borderId="0" xfId="0" applyFont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right"/>
    </xf>
    <xf numFmtId="0" fontId="0" fillId="5" borderId="0" xfId="0" applyFill="1"/>
    <xf numFmtId="0" fontId="0" fillId="5" borderId="0" xfId="0" applyFill="1" applyAlignment="1">
      <alignment horizontal="right"/>
    </xf>
    <xf numFmtId="0" fontId="0" fillId="6" borderId="0" xfId="0" applyFill="1"/>
    <xf numFmtId="0" fontId="0" fillId="6" borderId="0" xfId="0" applyFill="1" applyAlignment="1">
      <alignment horizontal="right"/>
    </xf>
    <xf numFmtId="0" fontId="8" fillId="0" borderId="0" xfId="0" applyFont="1"/>
    <xf numFmtId="0" fontId="9" fillId="0" borderId="0" xfId="0" applyFont="1"/>
    <xf numFmtId="0" fontId="10" fillId="0" borderId="0" xfId="2" applyFont="1"/>
    <xf numFmtId="0" fontId="4" fillId="0" borderId="0" xfId="1"/>
    <xf numFmtId="0" fontId="3" fillId="0" borderId="0" xfId="0" applyFont="1" applyAlignment="1">
      <alignment horizontal="center"/>
    </xf>
    <xf numFmtId="0" fontId="4" fillId="0" borderId="0" xfId="1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Hyperlink" xfId="2" xr:uid="{00000000-000B-0000-0000-000008000000}"/>
    <cellStyle name="Hyperlinkki" xfId="1" builtinId="8"/>
    <cellStyle name="Normaali" xfId="0" builtinId="0"/>
  </cellStyles>
  <dxfs count="8">
    <dxf>
      <font>
        <color rgb="FF000000"/>
      </font>
      <fill>
        <patternFill patternType="solid">
          <bgColor rgb="FF92D050"/>
        </patternFill>
      </fill>
    </dxf>
    <dxf>
      <alignment horizontal="right" vertical="bottom" textRotation="0" wrapText="0" indent="0" justifyLastLine="0" shrinkToFit="0" readingOrder="0"/>
    </dxf>
    <dxf>
      <alignment horizontal="right"/>
    </dxf>
    <dxf>
      <alignment horizontal="left" vertical="bottom" textRotation="0" wrapText="0" indent="0" justifyLastLine="0" shrinkToFit="0" readingOrder="0"/>
    </dxf>
    <dxf>
      <font>
        <b/>
      </font>
    </dxf>
    <dxf>
      <numFmt numFmtId="0" formatCode="General"/>
    </dxf>
    <dxf>
      <numFmt numFmtId="0" formatCode="General"/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39" Type="http://schemas.openxmlformats.org/officeDocument/2006/relationships/customXml" Target="../customXml/item21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40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bin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190500</xdr:colOff>
      <xdr:row>0</xdr:row>
      <xdr:rowOff>190500</xdr:rowOff>
    </xdr:from>
    <xdr:to>
      <xdr:col>12</xdr:col>
      <xdr:colOff>304800</xdr:colOff>
      <xdr:row>13</xdr:row>
      <xdr:rowOff>28575</xdr:rowOff>
    </xdr:to>
    <xdr:pic>
      <xdr:nvPicPr>
        <xdr:cNvPr id="4" name="Kuva 3">
          <a:extLst>
            <a:ext uri="{FF2B5EF4-FFF2-40B4-BE49-F238E27FC236}">
              <a16:creationId xmlns:a16="http://schemas.microsoft.com/office/drawing/2014/main" id="{10A539DC-B26A-BE7B-3E91-9A486088B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95725" y="190500"/>
          <a:ext cx="2362200" cy="2362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16</xdr:row>
      <xdr:rowOff>152400</xdr:rowOff>
    </xdr:from>
    <xdr:to>
      <xdr:col>0</xdr:col>
      <xdr:colOff>409575</xdr:colOff>
      <xdr:row>21</xdr:row>
      <xdr:rowOff>91990</xdr:rowOff>
    </xdr:to>
    <xdr:grpSp>
      <xdr:nvGrpSpPr>
        <xdr:cNvPr id="14" name="Ryhmä 13">
          <a:extLst>
            <a:ext uri="{FF2B5EF4-FFF2-40B4-BE49-F238E27FC236}">
              <a16:creationId xmlns:a16="http://schemas.microsoft.com/office/drawing/2014/main" id="{5E335CC8-D025-4A9F-BC70-8B48A6591665}"/>
            </a:ext>
          </a:extLst>
        </xdr:cNvPr>
        <xdr:cNvGrpSpPr/>
      </xdr:nvGrpSpPr>
      <xdr:grpSpPr>
        <a:xfrm>
          <a:off x="120650" y="3048000"/>
          <a:ext cx="285750" cy="841290"/>
          <a:chOff x="6486526" y="10220326"/>
          <a:chExt cx="285750" cy="898813"/>
        </a:xfrm>
      </xdr:grpSpPr>
      <xdr:pic>
        <xdr:nvPicPr>
          <xdr:cNvPr id="15" name="Kuva 14">
            <a:extLst>
              <a:ext uri="{FF2B5EF4-FFF2-40B4-BE49-F238E27FC236}">
                <a16:creationId xmlns:a16="http://schemas.microsoft.com/office/drawing/2014/main" id="{D60A1548-DFE0-09AD-92D9-4AC2934ACEA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-2631" t="31380"/>
          <a:stretch/>
        </xdr:blipFill>
        <xdr:spPr>
          <a:xfrm>
            <a:off x="6497277" y="10220326"/>
            <a:ext cx="264249" cy="266700"/>
          </a:xfrm>
          <a:prstGeom prst="rect">
            <a:avLst/>
          </a:prstGeom>
        </xdr:spPr>
      </xdr:pic>
      <xdr:pic>
        <xdr:nvPicPr>
          <xdr:cNvPr id="16" name="Kuva 15">
            <a:extLst>
              <a:ext uri="{FF2B5EF4-FFF2-40B4-BE49-F238E27FC236}">
                <a16:creationId xmlns:a16="http://schemas.microsoft.com/office/drawing/2014/main" id="{AAB46969-EA61-6CC0-9E1B-1E17B2AC224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9588" t="18069" r="7716" b="2723"/>
          <a:stretch/>
        </xdr:blipFill>
        <xdr:spPr>
          <a:xfrm>
            <a:off x="6519864" y="10536238"/>
            <a:ext cx="219074" cy="253999"/>
          </a:xfrm>
          <a:prstGeom prst="rect">
            <a:avLst/>
          </a:prstGeom>
        </xdr:spPr>
      </xdr:pic>
      <xdr:pic>
        <xdr:nvPicPr>
          <xdr:cNvPr id="17" name="Kuva 16">
            <a:extLst>
              <a:ext uri="{FF2B5EF4-FFF2-40B4-BE49-F238E27FC236}">
                <a16:creationId xmlns:a16="http://schemas.microsoft.com/office/drawing/2014/main" id="{68001187-3970-C004-A7D2-160918DC12B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4999" r="8334" b="-5555"/>
          <a:stretch/>
        </xdr:blipFill>
        <xdr:spPr>
          <a:xfrm>
            <a:off x="6486526" y="10868024"/>
            <a:ext cx="285750" cy="251115"/>
          </a:xfrm>
          <a:prstGeom prst="rect">
            <a:avLst/>
          </a:prstGeom>
        </xdr:spPr>
      </xdr:pic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kka Kivirinta" refreshedDate="45538.901043287035" createdVersion="7" refreshedVersion="8" minRefreshableVersion="3" recordCount="199" xr:uid="{8D6CF980-4595-4026-9315-992B615E2D4D}">
  <cacheSource type="worksheet">
    <worksheetSource name="Taulukko2"/>
  </cacheSource>
  <cacheFields count="11">
    <cacheField name="Laji" numFmtId="0">
      <sharedItems/>
    </cacheField>
    <cacheField name="Kilpailu" numFmtId="0">
      <sharedItems containsBlank="1" count="93">
        <s v="Hyvinkää XCO"/>
        <s v="Cycli-XCO"/>
        <s v="3.Köykäri XCC"/>
        <s v="4.Köykäri XCO"/>
        <s v="5. XCC-SM"/>
        <s v="6. XCO-SM"/>
        <s v="7. Korsisaari"/>
        <s v="8. Rovaniemi"/>
        <m u="1"/>
        <s v="6. Laajavuori MTB" u="1"/>
        <s v="9. Kokkola XCO" u="1"/>
        <s v="XCC-SM" u="1"/>
        <s v="Lattomeriajo" u="1"/>
        <s v="Fenix MTB Marathon" u="1"/>
        <s v="HelCX Kouvola" u="1"/>
        <s v="2. Ilpon Tempo" u="1"/>
        <s v="KempleMTB XCM" u="1"/>
        <s v="HelCX Helsinki" u="1"/>
        <s v="XCE-SM" u="1"/>
        <s v="4. Helsinki" u="1"/>
        <s v="HelCX Espoo" u="1"/>
        <s v="Kempele XCC" u="1"/>
        <s v="Syysetapit" u="1"/>
        <s v="4. Kauhajoki Tempo" u="1"/>
        <s v="Pirkka MTB" u="1"/>
        <s v="Walklandia-MTB" u="1"/>
        <s v="Tuusula MTB" u="1"/>
        <s v="7. XCM-SM Tahko" u="1"/>
        <s v="8. Ahvenisto GP" u="1"/>
        <s v="Cycli XCC" u="1"/>
        <s v="15. Pirkka-MTB" u="1"/>
        <s v="3. ISM-Takaa-ajo" u="1"/>
        <s v="Helsinki 6hrs CUP 2" u="1"/>
        <s v="Ilpon Tempo" u="1"/>
        <s v="Helsinki Evening race" u="1"/>
        <s v="1. Espoo" u="1"/>
        <s v="ISM maantie" u="1"/>
        <s v="ISM takaa-ajo" u="1"/>
        <s v="4. Valkeakoski MTB" u="1"/>
        <s v="2. ISM-Aika-ajo 500m" u="1"/>
        <s v="2. Kouvola" u="1"/>
        <s v="2. SK- muistoajo" u="1"/>
        <s v="10. ISM Maantie" u="1"/>
        <s v="HelCX Keinukallio" u="1"/>
        <s v="HelCX Porvoo" u="1"/>
        <s v="ISM maantie Muhos" u="1"/>
        <s v="3.ISM-Takaa-ajo" u="1"/>
        <s v="EPCXC Seinäjoki" u="1"/>
        <s v="XCO-SM" u="1"/>
        <s v="7. Jurvan Maantie" u="1"/>
        <s v="OW muistoajot" u="1"/>
        <s v="1. Lattomeriajo" u="1"/>
        <s v="12. OW Muistoajo" u="1"/>
        <s v="11. XCC-SM" u="1"/>
        <s v="ISM aika-ajo" u="1"/>
        <s v="Korkeakangas XCO" u="1"/>
        <s v="2. ISM-Aika-ajo" u="1"/>
        <s v="6. Terhin Tempo" u="1"/>
        <s v="HelCX Pori" u="1"/>
        <s v="3. Ilpon Tempo" u="1"/>
        <s v="10. ISM Kortteli" u="1"/>
        <s v="5. Kauhajoki Maantie" u="1"/>
        <s v="2. EVOC Mtb" u="1"/>
        <s v="Pyssymäki XCM &amp; ISM" u="1"/>
        <s v="Cycli XCO" u="1"/>
        <s v="3. Tuusula" u="1"/>
        <s v="Ahvenisto GP" u="1"/>
        <s v="HelCX Kerava" u="1"/>
        <s v="8. Kokkola XCC" u="1"/>
        <s v="14. Kempele MTB" u="1"/>
        <s v="5. Alhonniittu XCO" u="1"/>
        <s v="13. Kempele XCC" u="1"/>
        <s v="12. XCO-SM" u="1"/>
        <s v="1. Hyvinkää XCO" u="1"/>
        <s v="Köykäri XCO" u="1"/>
        <s v="9. ISM aika-ajo" u="1"/>
        <s v="SK- muistoajo" u="1"/>
        <s v="EVOC Mtb" u="1"/>
        <s v="Kauhajoki Tempo" u="1"/>
        <s v="HelCX Tuusula" u="1"/>
        <s v="Helsinki 6hrs CUP 1" u="1"/>
        <s v="3.ISM-Takaa-ajo 2km" u="1"/>
        <s v="11. ISM Maantie" u="1"/>
        <s v="ISM aika-ajo Muhos" u="1"/>
        <s v="11. OW Muistoajo" u="1"/>
        <s v="1. 6HRS-CUP Helsinki" u="1"/>
        <s v="10. Cycli MTB" u="1"/>
        <s v="Alhonniittu-XCO" u="1"/>
        <s v="ISM aika-ajo rata" u="1"/>
        <s v="HelCX Lappeenranta" u="1"/>
        <s v="3. Tuusula MTB" u="1"/>
        <s v="Kauhajoki Maantie" u="1"/>
        <s v="4. Korkeakangas-MTB" u="1"/>
      </sharedItems>
    </cacheField>
    <cacheField name="Sarja" numFmtId="0">
      <sharedItems containsBlank="1" count="47">
        <s v="N-Elite"/>
        <s v="N40"/>
        <s v="M-Elite"/>
        <s v="MU19"/>
        <s v="M40"/>
        <s v="M50"/>
        <s v="NU19"/>
        <s v="N50"/>
        <s v="M60"/>
        <s v="N Elite" u="1"/>
        <s v="M Elite" u="1"/>
        <s v="M-U 19" u="1"/>
        <s v="N-U 19" u="1"/>
        <m u="1"/>
        <s v="MU15" u="1"/>
        <s v="WU17" u="1"/>
        <s v="M-16" u="1"/>
        <s v="N-10" u="1"/>
        <s v="M-16 " u="1"/>
        <s v="N-10 " u="1"/>
        <s v="MU13" u="1"/>
        <s v="NU17" u="1"/>
        <s v="WU15" u="1"/>
        <s v="M-14" u="1"/>
        <s v="M-14 " u="1"/>
        <s v="N U13" u="1"/>
        <s v=" M-12" u="1"/>
        <s v="MU11" u="1"/>
        <s v="MU21" u="1"/>
        <s v="NU15" u="1"/>
        <s v="WU13" u="1"/>
        <s v="M-12" u="1"/>
        <s v="N-16" u="1"/>
        <s v="MU10" u="1"/>
        <s v="M-12 " u="1"/>
        <s v="N-16 " u="1"/>
        <s v="NU13" u="1"/>
        <s v="WU11" u="1"/>
        <s v="M-10" u="1"/>
        <s v="N-14" u="1"/>
        <s v="M-10 " u="1"/>
        <s v="NU12" u="1"/>
        <s v="N-14 " u="1"/>
        <s v="MU17" u="1"/>
        <s v="NU11" u="1"/>
        <s v="N-12" u="1"/>
        <s v="N-12 " u="1"/>
      </sharedItems>
    </cacheField>
    <cacheField name="Sijoitus" numFmtId="0">
      <sharedItems containsSemiMixedTypes="0" containsString="0" containsNumber="1" containsInteger="1" minValue="1" maxValue="9"/>
    </cacheField>
    <cacheField name="Nimi" numFmtId="0">
      <sharedItems containsBlank="1" count="610">
        <s v="Mäkinen Sanna"/>
        <s v="Kanerva Noora"/>
        <s v="Häkkinen Hanna"/>
        <s v="Orvola Stella"/>
        <s v="Pirhonen Marja"/>
        <s v="Rantanen Aksel"/>
        <s v="Utkin Mikhail"/>
        <s v="Simonen Niklas"/>
        <s v="Kleemola Joona"/>
        <s v="Hongisto Eero"/>
        <s v="Kangasluoma Väinö"/>
        <s v="Kaapu Oiva"/>
        <s v="Juntunen Niko"/>
        <s v="Jalonen Viljami"/>
        <s v="Autio Elias"/>
        <s v="Suomalainen Tuomas"/>
        <s v="Hesso Johannes"/>
        <s v="Malm Mika"/>
        <s v="Korpela Aki"/>
        <s v="Hakala Arto"/>
        <s v="Laine Mikko"/>
        <s v="Vainio Panu"/>
        <s v="Alusniemi Sini"/>
        <s v="Teronen Anni"/>
        <s v="Kansikas Sofia"/>
        <s v="Mielonen Noora"/>
        <s v="Hernetkoski Hanna"/>
        <s v="Pietilä Anni"/>
        <s v="Savaste Joni"/>
        <s v="Terho Niko"/>
        <s v="Sairanen Iiro"/>
        <s v="Ristimäki Juha"/>
        <s v="Sundkvist William"/>
        <s v="Granberg Isaac"/>
        <s v="Kuusniemi Kalle"/>
        <s v="Tapio Anni"/>
        <s v="Karsikas Ilkka"/>
        <s v="Vainio Mikko"/>
        <s v="Kaarjärv Mairit"/>
        <s v="Koivula Ella"/>
        <s v="Kaarjärv Maris"/>
        <s v="Orvola Sari"/>
        <s v="Perälä Suvi"/>
        <s v="Nieminen Pekka"/>
        <s v="Laitila Veikko"/>
        <s v="Timmerbacka Juhani"/>
        <s v="Åkerman Tord"/>
        <s v="Niku Jussi"/>
        <s v="Teppo Petja"/>
        <s v="Lipponen Aatu"/>
        <s v="Härginen Dani"/>
        <s v="Tikkala Arto"/>
        <s v="Parkkinen Markus"/>
        <s v="Eskelinen Annika"/>
        <s v="Hildén Tiina"/>
        <s v="Havana Henna-Mari"/>
        <s v="Saarela Ruska"/>
        <s v="Snäll Astrid"/>
        <s v="Johansson Idamari"/>
        <s v="Kapanen Elisabet"/>
        <s v="Tuppurainen Ville"/>
        <s v="Väänänen Heikki"/>
        <s v="Halme Samuel"/>
        <s v="Ahtosalo Matias"/>
        <s v="Lampila Veli"/>
        <s v="Toivonen Nuutti"/>
        <s v="Havana Juha"/>
        <s v="Kupiainen Mikko"/>
        <s v="Miettinen Olli"/>
        <s v="Stenmark Mattias"/>
        <s v="Heinikainen Jari"/>
        <s v="Mursu Jaakko"/>
        <s v="Nurminen Ilkka"/>
        <s v="Lehtinen Sakari"/>
        <s v="Laakkonen Katariina"/>
        <s v="Sammalisto Pekka"/>
        <s v="Rusanen Riikka"/>
        <s v="Niskakangas Heikki"/>
        <s v="Visuri Samuli"/>
        <s v="Pelkonen Ville"/>
        <s v="Kuitto Antti"/>
        <s v="Heikkilä Niko"/>
        <s v="Halme Sasu"/>
        <s v="Terävä Simo"/>
        <s v="Jordan Ellen"/>
        <s v="Kuusiniemi Kalle" u="1"/>
        <s v="Kuusiniemi Kalle " u="1"/>
        <m u="1"/>
        <s v="Hukka Hermanni" u="1"/>
        <s v="Niku Jouka" u="1"/>
        <s v="Koiviston Isku Lahtinen" u="1"/>
        <s v="Holopainen Väinö" u="1"/>
        <s v="Laapas Sulo" u="1"/>
        <s v="Kornijenko Katja" u="1"/>
        <s v="Häyrinen Aarni" u="1"/>
        <s v="Nurminen Väinö" u="1"/>
        <s v="Nieminen Santtu " u="1"/>
        <s v="Nurminen Kaarina" u="1"/>
        <s v="Tapio Joel" u="1"/>
        <s v="Saari Jaakko" u="1"/>
        <s v="Jäväjä Sampo" u="1"/>
        <s v="Kurth Rasmus" u="1"/>
        <s v="Gillett Fionn" u="1"/>
        <s v="Hyttinen Eeli" u="1"/>
        <s v="Määttä Hilla" u="1"/>
        <s v="Kosunen Niilas" u="1"/>
        <s v="Kylmäaho Tuukka" u="1"/>
        <s v="Häkkinen Santeri" u="1"/>
        <s v="Vertanen Tiitus" u="1"/>
        <s v="Tuomi Niilo" u="1"/>
        <s v="Sirkiä Konsta" u="1"/>
        <s v="Tuovinen Juho" u="1"/>
        <s v="Laine Alpo" u="1"/>
        <s v="Lotte Borremans" u="1"/>
        <s v="Kangasluoma Väinö " u="1"/>
        <s v="Hollmen Eino" u="1"/>
        <s v="Kopakkala Neo" u="1"/>
        <s v="Liljeqvist Dan" u="1"/>
        <s v="Luukas Simola" u="1"/>
        <s v="Espo Tommi" u="1"/>
        <s v="Kornijenko Kuzma " u="1"/>
        <s v="Peltonen Jaakko" u="1"/>
        <s v="Eeda Pietilä" u="1"/>
        <s v="Sanden Jonatan" u="1"/>
        <s v="Konsta Malinen" u="1"/>
        <s v="Holstikko Fiona" u="1"/>
        <s v="Pawlik Wojciech" u="1"/>
        <s v="Kornijenko Kuzma" u="1"/>
        <s v="Eddi Pietilä" u="1"/>
        <s v="Laapas Sulo " u="1"/>
        <s v="Holstikko Isla" u="1"/>
        <s v="Väinö Luttinen" u="1"/>
        <s v="Lahti Eeti" u="1"/>
        <s v="Eino Miikki" u="1"/>
        <s v="Raudaskoski Eino" u="1"/>
        <s v="Halonen Ville" u="1"/>
        <s v="Huhtala Veikko" u="1"/>
        <s v="Rideep Laitila" u="1"/>
        <s v="Mette Borremans" u="1"/>
        <s v="Lepola Emma" u="1"/>
        <s v="Ylinenpää Joona" u="1"/>
        <s v="Hyytiäinen Miika" u="1"/>
        <s v="Luukkonen Aleksi" u="1"/>
        <s v="Hassinen Sonja" u="1"/>
        <s v="Lampi Noel" u="1"/>
        <s v="Laansoo Kaarel" u="1"/>
        <s v="Ikonen Eeli" u="1"/>
        <s v="Määttä Malla" u="1"/>
        <s v="Kerttu Järvinen" u="1"/>
        <s v="Kosunen Nuuti" u="1"/>
        <s v="Cycle Club Helsinki Ylipelkonen" u="1"/>
        <s v="Tawast CyclingClub Vuorinen" u="1"/>
        <s v="Åman Lassi" u="1"/>
        <s v="Loikas Charlotta" u="1"/>
        <s v="Sundkvist William " u="1"/>
        <s v="Granberg  Jeremia" u="1"/>
        <s v="Karsikas Einari" u="1"/>
        <s v="Salenius Anton" u="1"/>
        <s v="Suhonen Matias" u="1"/>
        <s v="Känsäkangas Allu " u="1"/>
        <s v="Mitsui Jooa" u="1"/>
        <s v="Eskelinen Elias" u="1"/>
        <s v="Astikainen Aapo Oskari" u="1"/>
        <s v="Lampi Amos" u="1"/>
        <s v="Vuorio René" u="1"/>
        <s v="Arttu Koiviston Isku" u="1"/>
        <s v="Känsäkangas Allu" u="1"/>
        <s v="Nurminen Otto" u="1"/>
        <s v="Kareisto Jaani" u="1"/>
        <s v="Lepola Emma " u="1"/>
        <s v="Kohtala Kaĺle" u="1"/>
        <s v="Hartikainen Juuso" u="1"/>
        <s v="Kylmäniemi Heli" u="1"/>
        <s v="Kanerva Pipsa" u="1"/>
        <s v="Jäväjä Sisu" u="1"/>
        <s v="Varsamäki Nea" u="1"/>
        <s v="Turunen Leo" u="1"/>
        <s v="Loukko Iivari" u="1"/>
        <s v="Laine Rebekka" u="1"/>
        <s v="Elias Eskelinen" u="1"/>
        <s v="Nevalainen Aapo" u="1"/>
        <s v="Vehviläinen Petja" u="1"/>
        <s v="Cycle Club Helsinki Kornijenko" u="1"/>
        <s v="Riutta Arvi" u="1"/>
        <s v="Koivisto Antti-Ville" u="1"/>
        <s v="Aittakorpi Ante" u="1"/>
        <s v="Lyyrtö Leevi" u="1"/>
        <s v="kirjonen Jaakko" u="1"/>
        <s v="Lehtonen Eemeli" u="1"/>
        <s v="Häkkinen Kaisla" u="1"/>
        <s v="Holopainen Alex" u="1"/>
        <s v="Lahtinen Lenni" u="1"/>
        <s v="Wiik Iiris" u="1"/>
        <s v="Latvio Iivo" u="1"/>
        <s v="Koukkula Pauli" u="1"/>
        <s v="Kauhajoen Karhu Loukko" u="1"/>
        <s v="Vesalo Viljami" u="1"/>
        <s v="Saarelainen Lenny" u="1"/>
        <s v="Skutnabb Alex" u="1"/>
        <s v="Kohtala Kalle" u="1"/>
        <s v="Huusko Jimi" u="1"/>
        <s v="Peltonen Bruno" u="1"/>
        <s v="Niku Veikka" u="1"/>
        <s v="Luttinen Väinö" u="1"/>
        <s v="Iivonen Anni" u="1"/>
        <s v="Martikainen  Leevi" u="1"/>
        <s v="Karlsson Sulo" u="1"/>
        <s v="Kauniskangas Sara" u="1"/>
        <s v="Mustikkamaa Salla" u="1"/>
        <s v="Ödling Björk Valter" u="1"/>
        <s v="Hollmén Jalo" u="1"/>
        <s v="Hintikka Elias" u="1"/>
        <s v="Martikainen Leevi" u="1"/>
        <s v="Kellokangas Nuutti" u="1"/>
        <s v="Tuomi Onni" u="1"/>
        <s v="Arttu Malinen" u="1"/>
        <s v="Rajamäen Kehitys Mutanen" u="1"/>
        <s v="Vasankari Eeli" u="1"/>
        <s v="Kuitto Miska" u="1"/>
        <s v="Kasperi Nieminen" u="1"/>
        <s v="Eklund Oliver" u="1"/>
        <s v="Oja-Nisula Niilo" u="1"/>
        <s v="Ylipelkonen Aatu" u="1"/>
        <s v="Rannila Niklas" u="1"/>
        <s v="Aarni Häyrinen" u="1"/>
        <s v="Kronholm Wiliam" u="1"/>
        <s v="Posio Pyry" u="1"/>
        <s v="Kasper Rajamäen Kehitys" u="1"/>
        <s v="Ivar Kraft Cykel" u="1"/>
        <s v="Ilmari Karsikas" u="1"/>
        <s v="Kajasoja Olivia" u="1"/>
        <s v="Holopainen Arttu" u="1"/>
        <s v="Ylipelkonen Samuli" u="1"/>
        <s v="Kronholm Wiliam " u="1"/>
        <s v="Miikki Eino" u="1"/>
        <s v="Külv Kert" u="1"/>
        <s v="Varsamäki Neea" u="1"/>
        <s v="TRÄSKELIN Pontus" u="1"/>
        <s v="LAINE Miska" u="1"/>
        <s v="Lindberg Oiva" u="1"/>
        <s v="Leskelä Riku" u="1"/>
        <s v="Tampereen Yritys Malm" u="1"/>
        <s v="Vasankari Seela" u="1"/>
        <s v="Ruonakoski Sampo" u="1"/>
        <s v="Nissinen Kauri" u="1"/>
        <s v="Nevalainen Niilo" u="1"/>
        <s v="Martin Kullberg" u="1"/>
        <s v="Heikkinen Iiris" u="1"/>
        <s v="Loukko Elli" u="1"/>
        <s v="Suomu Sanni" u="1"/>
        <s v="Kylmäniemi Kalle" u="1"/>
        <s v="Reijonen Saku" u="1"/>
        <s v="Gerards Jasper" u="1"/>
        <s v="Hollmen Jalo" u="1"/>
        <s v="Väänänen Lenni" u="1"/>
        <s v="Åkerman Ava" u="1"/>
        <s v="Lahtinen Lauri" u="1"/>
        <s v="Holstikko Isla " u="1"/>
        <s v="Karsikas Olavi" u="1"/>
        <s v="Eino Mutanen" u="1"/>
        <s v="Kalle Kylmäniemi" u="1"/>
        <s v="Toivonen Veikka" u="1"/>
        <s v="Haapoja Enni" u="1"/>
        <s v="Samppala Vilma" u="1"/>
        <s v="Paananen Julius " u="1"/>
        <s v="Lehtonen Veeti" u="1"/>
        <s v="Kasper Borremans" u="1"/>
        <s v="Hintikka Niila" u="1"/>
        <s v="Lahtinen Sulo" u="1"/>
        <s v="Vainio Viivi" u="1"/>
        <s v="Kairikko Lauri" u="1"/>
        <s v="Kalliomäki Ossi" u="1"/>
        <s v="Jyrämö Jenna" u="1"/>
        <s v="Laitila  Eeli" u="1"/>
        <s v="Eeti Lahti" u="1"/>
        <s v="Metsola Oiva" u="1"/>
        <s v="Veikka Toivonen" u="1"/>
        <s v="Rideep Riutta" u="1"/>
        <s v="Vainio Aapo" u="1"/>
        <s v="Mutanen  Eino" u="1"/>
        <s v="Tonteri Maini" u="1"/>
        <s v="Helander Niklas" u="1"/>
        <s v="Salonen Valtteri" u="1"/>
        <s v="Suomu Sanni " u="1"/>
        <s v="Heinänen Henrik " u="1"/>
        <s v="Kurikka Emil" u="1"/>
        <s v="Turunen Onni" u="1"/>
        <s v="Laakkonen Lumia" u="1"/>
        <s v="Team Velocycling Lehtonen" u="1"/>
        <s v="Keskiaho Saku" u="1"/>
        <s v="Porin Tarmo Numminen" u="1"/>
        <s v="Heinänen Eino " u="1"/>
        <s v="Alhonen Sofia" u="1"/>
        <s v="Heimonen Elsa" u="1"/>
        <s v="Jaakkola Jooa" u="1"/>
        <s v="Ilmonen Väinö " u="1"/>
        <s v="Petja Gamlakarleby IF" u="1"/>
        <s v="Niemelä Melina" u="1"/>
        <s v="Mäkelä Miko" u="1"/>
        <s v="Haataja Lilli" u="1"/>
        <s v="Samppala Aapo" u="1"/>
        <s v="Turpeinen Viivi" u="1"/>
        <s v="Ventola Aulis" u="1"/>
        <s v="Alex Skutnabb" u="1"/>
        <s v="Nieminen Kasperi" u="1"/>
        <s v="Holopainen Viola" u="1"/>
        <s v="Koiviston Isku Nevalainen" u="1"/>
        <s v="Nikotin Vitalii" u="1"/>
        <s v="Karislahti Aapeli" u="1"/>
        <s v="Ruonio Joel" u="1"/>
        <s v="Wiik Iida" u="1"/>
        <s v="Heinänen Eino" u="1"/>
        <s v="Hirvo Hannes " u="1"/>
        <s v="Varsamäki Elle" u="1"/>
        <s v="Yli-Karjanmaa Leo" u="1"/>
        <s v="Salonen Lydia" u="1"/>
        <s v="Ilmonen Väinö" u="1"/>
        <s v="Eskelinen Hilla" u="1"/>
        <s v="Alatalo Elsa" u="1"/>
        <s v="Terho Jessica" u="1"/>
        <s v="Nikkilä Elias" u="1"/>
        <s v="Vertanen Justus" u="1"/>
        <s v="Laine Nooa" u="1"/>
        <s v="Helenius Olli" u="1"/>
        <s v="Sorvisto Pekka" u="1"/>
        <s v="Milja Lepola" u="1"/>
        <s v="Vänskä Juuso" u="1"/>
        <s v="Syrjänen Otto" u="1"/>
        <s v="Vuorinen Roope" u="1"/>
        <s v="Visa Lampila" u="1"/>
        <s v="Lankinen Daniel" u="1"/>
        <s v="Peltonen Jaakko " u="1"/>
        <s v="Helmi Emilia" u="1"/>
        <s v="Hirvo Hannes" u="1"/>
        <s v="Laulumaa Samuli" u="1"/>
        <s v="Reiju Aleksi " u="1"/>
        <s v="Simola Eemeli " u="1"/>
        <s v="Lauri Koiviston Isku" u="1"/>
        <s v="Jasu Kahelin" u="1"/>
        <s v="Peltonen Frans" u="1"/>
        <s v="Vasankari Otto" u="1"/>
        <s v="Blomback Saga" u="1"/>
        <s v="Rantanen Annika" u="1"/>
        <s v="Veijalainen Samu" u="1"/>
        <s v="Henrikkson Tatu" u="1"/>
        <s v="Mäkinen Peetu" u="1"/>
        <s v="Laitila Eeli " u="1"/>
        <s v="Kirssi Antto" u="1"/>
        <s v="Veeti Lehtonen" u="1"/>
        <s v="Kuusisto Sebastian" u="1"/>
        <s v="Häkkinen Eepi " u="1"/>
        <s v="Vainio Maisa" u="1"/>
        <s v="Reiju Aleksi" u="1"/>
        <s v="Isla Holstikko" u="1"/>
        <s v="Henriksson Tatu" u="1"/>
        <s v="Karvonen Matilda" u="1"/>
        <s v="Nieminen Santtu" u="1"/>
        <s v="Vertanen Justus" u="1"/>
        <s v="Granberg Jeremia" u="1"/>
        <s v="Latvio Aaro" u="1"/>
        <s v="Sirkiä Hilkka" u="1"/>
        <s v="Wilenius Luka" u="1"/>
        <s v="Kanerva Sisu" u="1"/>
        <s v="Heikkinen Inari" u="1"/>
        <s v="Simola Eemeli" u="1"/>
        <s v="Laitinen Roope" u="1"/>
        <s v="Lehtinen Matias" u="1"/>
        <s v="Eeli Ikonen" u="1"/>
        <s v="Laitila Eeli" u="1"/>
        <s v="Oiva Iivonen" u="1"/>
        <s v="Salonen Jooa " u="1"/>
        <s v="Porin Tarmo Peltonen" u="1"/>
        <s v="Timmerbacka Niila" u="1"/>
        <s v="Pirinen Aleksi" u="1"/>
        <s v="Terho Erika" u="1"/>
        <s v="Häkkinen Eepi" u="1"/>
        <s v="Kinnari Linnea" u="1"/>
        <s v="Kenttämies Eevert" u="1"/>
        <s v="Terhelä Mika" u="1"/>
        <s v="Uuskoski Kiira" u="1"/>
        <s v="Simola Luukas" u="1"/>
        <s v="Salonen Jooa" u="1"/>
        <s v="Ylitervo Onni" u="1"/>
        <s v="Henriksson Dani" u="1"/>
        <s v="Liljeqvist Agnes" u="1"/>
        <s v="Väyrynen Viljami" u="1"/>
        <s v="Salmela Eemeli" u="1"/>
        <s v="Rissanen Siiri" u="1"/>
        <s v="Vainio Viljami" u="1"/>
        <s v="Sinkkonen Johannes" u="1"/>
        <s v="Hynninen Richard" u="1"/>
        <s v="Malm Leo " u="1"/>
        <s v="Team Velocycling Vainio" u="1"/>
        <s v="Sanni Suomu" u="1"/>
        <s v="Puttonen Leevi" u="1"/>
        <s v="Honkaniemi Lenni" u="1"/>
        <s v="Carstens Erin" u="1"/>
        <s v="Saari Leo" u="1"/>
        <s v="Eemeli Simola" u="1"/>
        <s v="Niinikoski Lyyli " u="1"/>
        <s v="Malm Leo" u="1"/>
        <s v="Kosonen Antti" u="1"/>
        <s v="Kiis Isabel" u="1"/>
        <s v="Nissinen Elmo" u="1"/>
        <s v="Kouva Antti" u="1"/>
        <s v="Tuomola Veikka" u="1"/>
        <s v="Emma Lepola" u="1"/>
        <s v="Selvenius Severi" u="1"/>
        <s v="Kangasluoma  Väinö" u="1"/>
        <s v="Terhelä Valtteri" u="1"/>
        <s v="Olkinuora Onni" u="1"/>
        <s v="Lyyli Niinikoski" u="1"/>
        <s v="THOMAS Edward" u="1"/>
        <s v="Jussila Veikka" u="1"/>
        <s v="Similä Eeli" u="1"/>
        <s v="Jaakonsaari Eino" u="1"/>
        <s v="RUOTSALAINEN Lilja" u="1"/>
        <s v="Liukkonen Sonja" u="1"/>
        <s v="Jamal Hussein" u="1"/>
        <s v="Numminen Sanni-Sofia" u="1"/>
        <s v="Malinen Arttu" u="1"/>
        <s v="Lahtinen Reima" u="1"/>
        <s v="SIRÉN Silja" u="1"/>
        <s v="Juntunen Antti-Jussi" u="1"/>
        <s v="Lemmetti Jesse" u="1"/>
        <s v="Källström Henri" u="1"/>
        <s v="Rantaiso Eemeli" u="1"/>
        <s v="Kuitunen Hanna Elina" u="1"/>
        <s v="Järvinen Kerttu" u="1"/>
        <s v="Koimäki Hannu" u="1"/>
        <s v="Sundqvist William" u="1"/>
        <s v="Paavola Iida " u="1"/>
        <s v="Viteli Linus" u="1"/>
        <s v="Borremans Mette" u="1"/>
        <s v="Malinen Konsta" u="1"/>
        <s v="Matikainen Tito" u="1"/>
        <s v="Venäläinen Leevi" u="1"/>
        <s v="Kangasluoma Väinö" u="1"/>
        <s v="Hämäläinen Anton" u="1"/>
        <s v="Lepola Meija" u="1"/>
        <s v="Ylönen Luukas " u="1"/>
        <s v="Tatu Henriksson" u="1"/>
        <s v="Vuorinen Samu" u="1"/>
        <s v="Lindroos Onni" u="1"/>
        <s v="Stammeier Arttu" u="1"/>
        <s v="Pietilä Eeda " u="1"/>
        <s v="Pulkkinen Aki" u="1"/>
        <s v="Hakala Mari" u="1"/>
        <s v="Helander Niklas " u="1"/>
        <s v="Skutnabb Aaron" u="1"/>
        <s v="Paananen Julius" u="1"/>
        <s v="Pietilä Peetu" u="1"/>
        <s v="Vuorinen Roope " u="1"/>
        <s v="Paavola Iida" u="1"/>
        <s v="Rose Antoni" u="1"/>
        <s v="Huttunen Ilmari" u="1"/>
        <s v="Mutanen Eino" u="1"/>
        <s v="Korpela Touko" u="1"/>
        <s v="Yrjänäinen Eelis" u="1"/>
        <s v="Koivula Lassi " u="1"/>
        <s v="Thomas Aava" u="1"/>
        <s v="Pietilä Eddi " u="1"/>
        <s v="Pietilä Eeda" u="1"/>
        <s v="Häikiö Aaro" u="1"/>
        <s v="Pietilä Lumi" u="1"/>
        <s v="Linna Samppa" u="1"/>
        <s v="Ylönen Luukas" u="1"/>
        <s v="Karsikas Petteri" u="1"/>
        <s v="Kupiainen Sylvi" u="1"/>
        <s v="Berg Kevin" u="1"/>
        <s v="Iivonen Oiva" u="1"/>
        <s v="Heikkinen Eeli" u="1"/>
        <s v="Varsamäki Emma" u="1"/>
        <s v="Arminen Anton" u="1"/>
        <s v="Ylipelkonen  Samuli " u="1"/>
        <s v="Vertanen Mona" u="1"/>
        <s v="Heinänen Henrik" u="1"/>
        <s v="Vuorisalo Erik" u="1"/>
        <s v="Petja Teppo" u="1"/>
        <s v="Ijäs Niilo" u="1"/>
        <s v="Ylönen Edith " u="1"/>
        <s v="Hirvonen Joona" u="1"/>
        <s v="Tuovinen Vieno" u="1"/>
        <s v="Jordas Ellen" u="1"/>
        <s v="Pietilä Eddi" u="1"/>
        <s v="Astikainen Oskari" u="1"/>
        <s v="Nevalainen Oona" u="1"/>
        <s v="Lepola Milja" u="1"/>
        <s v="Koivula Lassi" u="1"/>
        <s v="Koivu Väinö" u="1"/>
        <s v="Visti Julius" u="1"/>
        <s v="Valli Samir" u="1"/>
        <s v="Kauhajoen Karhu Samppala" u="1"/>
        <s v="Pirinen Miko" u="1"/>
        <s v="Ekman Iris" u="1"/>
        <s v="Numminen Sanni" u="1"/>
        <s v="Tenhunen Santeri " u="1"/>
        <s v="Hassinen Noora" u="1"/>
        <s v="Tervakangas Ronja" u="1"/>
        <s v="Turunen Akseli" u="1"/>
        <s v="Jurvelin Iina" u="1"/>
        <s v="Ylönen Edith" u="1"/>
        <s v="Aspholm Finley" u="1"/>
        <s v="Frans Harakka" u="1"/>
        <s v="Laakkonen Lilia" u="1"/>
        <s v="Tenhunen Santeri" u="1"/>
        <s v="Källberg Ivar" u="1"/>
        <s v="Valkonen Leo" u="1"/>
        <s v="Suuronen Stella" u="1"/>
        <s v="Granberg Isac " u="1"/>
        <s v="Sebastian Porin Tarmo" u="1"/>
        <s v="Tapio Lauri" u="1"/>
        <s v="Kauhajoen Karhu Varsamäki" u="1"/>
        <s v="Leisti Johannes" u="1"/>
        <s v="Ylipelkonen  Samuli" u="1"/>
        <s v="Hilli Timi" u="1"/>
        <s v="Kylmäaho Tiitus" u="1"/>
        <s v="Keskiaho Salla" u="1"/>
        <s v="Häkämies Venla" u="1"/>
        <s v="Rajamäen Kehitys Eskelinen" u="1"/>
        <s v="Vainio Viljami " u="1"/>
        <s v="Sanford Lilia" u="1"/>
        <s v="Vuorinen Miki" u="1"/>
        <s v="Haapakari Ilona" u="1"/>
        <s v="Haataja Vili" u="1"/>
        <s v="Lampila Visa " u="1"/>
        <s v="Karimies Toivo" u="1"/>
        <s v="Länsikallio Ivar" u="1"/>
        <s v="Kornijenko Ekaterina" u="1"/>
        <s v="Heiskanen Tuomo" u="1"/>
        <s v="Enojärvi Aatu" u="1"/>
        <s v="Pirinen Anette" u="1"/>
        <s v="Lensment Linda" u="1"/>
        <s v="Martikainen Leevi " u="1"/>
        <s v="Posio Tuukka " u="1"/>
        <s v="Turunen Ilmari" u="1"/>
        <s v="Granberg Isac" u="1"/>
        <s v="Siurua Emma" u="1"/>
        <s v="Terho Niko " u="1"/>
        <s v="Haapoja Oliver" u="1"/>
        <s v="Aspholm Roger" u="1"/>
        <s v="Lehtonen Teo" u="1"/>
        <s v="Golubkova Varvara" u="1"/>
        <s v="Björk Viktor" u="1"/>
        <s v="Turun Urheiluliitto Krogell" u="1"/>
        <s v="Kullberg Martin" u="1"/>
        <s v="Lampila Visa" u="1"/>
        <s v="Sankinen Silva" u="1"/>
        <s v="Suomu Saana" u="1"/>
        <s v="Rajamäen Kehitys Borremans" u="1"/>
        <s v="Jaakonsaari Roope" u="1"/>
        <s v="Tuomola Veikka " u="1"/>
        <s v="Koiviston Isku Holopainen" u="1"/>
        <s v="Posio Tuukka" u="1"/>
        <s v="Ranta Kerttu" u="1"/>
        <s v="Kupiainen Sulo" u="1"/>
        <s v="Junnila Ilmari" u="1"/>
        <s v="Aatos Eskelinen" u="1"/>
        <s v="Kumlander Otto" u="1"/>
        <s v="Riutta Lenni" u="1"/>
        <s v="Anni Iivonen" u="1"/>
        <s v="Hyytiäinen Joona" u="1"/>
        <s v="Oja Lotta" u="1"/>
        <s v="Tuoriniemi Ilari" u="1"/>
        <s v="Vertanen  Justus" u="1"/>
        <s v="Oilinki Joona" u="1"/>
        <s v="Kareisto Jeehu" u="1"/>
        <s v="Kahelin Jasu" u="1"/>
        <s v="Oksanen Konsta" u="1"/>
        <s v="Vuorisalo Iiris" u="1"/>
        <s v="Jokinen Elmo" u="1"/>
        <s v="Suikki Tuomas" u="1"/>
        <s v="Piittinen Jonatan" u="1"/>
        <s v="Vitalii Nikotin" u="1"/>
        <s v="Häkämies Eero" u="1"/>
        <s v="Luukkonen Ilmari" u="1"/>
        <s v="Eskelinen Aatos" u="1"/>
        <s v="Alaluusua Rene" u="1"/>
        <s v="Nevalainen Niklas" u="1"/>
        <s v="Nevalainen Nea" u="1"/>
        <s v="Koski Juuso" u="1"/>
        <s v="Pökälä Samuel" u="1"/>
        <s v="Ruotsalainen Eemeli" u="1"/>
        <s v="Heimonen Eemeli" u="1"/>
        <s v="Karsikas Ilmari" u="1"/>
        <s v="Kapanen Edvard" u="1"/>
        <s v="Granberg Jeremia " u="1"/>
        <s v="Tuukkanen Sanni" u="1"/>
        <s v="Niinikoski Lyyli" u="1"/>
        <s v="Kauniskangas Lauri" u="1"/>
        <s v="Borremans Lotte" u="1"/>
        <s v="Harakka Frans" u="1"/>
        <s v="Hollmén Eino" u="1"/>
        <s v="Krogell Emil " u="1"/>
        <s v="Eeli Laitila" u="1"/>
        <s v="Halminen Iiro" u="1"/>
        <s v="Posio Niilas" u="1"/>
        <s v="Metsomäki Olli" u="1"/>
        <s v="Oskari Astikainen" u="1"/>
        <s v="Hyttinen Eeli " u="1"/>
        <s v="Huikko Oskar" u="1"/>
        <s v="Hollmen Ilona" u="1"/>
        <s v="Matikainen Eino" u="1"/>
        <s v="Hintikka Kauri" u="1"/>
        <s v="Heikkinen Vilho" u="1"/>
        <s v="Krogell Emil" u="1"/>
        <s v="Bloigo Mattias" u="1"/>
        <s v="Kornijenko Katja " u="1"/>
        <s v="Haga Andre" u="1"/>
        <s v="Borremans Kasper" u="1"/>
      </sharedItems>
    </cacheField>
    <cacheField name="Seura" numFmtId="0">
      <sharedItems containsMixedTypes="1" containsNumber="1" containsInteger="1" minValue="0" maxValue="0" count="35">
        <s v="RSR"/>
        <s v="KorsKa"/>
        <s v="RMTB"/>
        <s v="VlkMTB"/>
        <s v="Akilles"/>
        <s v="TWD-Länken"/>
        <s v="LaPy"/>
        <s v="LrPy "/>
        <s v="Rideep"/>
        <s v="HyPy"/>
        <s v="OTC"/>
        <s v="CCH"/>
        <s v="TY"/>
        <s v="CC Ilves"/>
        <s v="JYPS"/>
        <s v="ProMTB"/>
        <s v="RaKe"/>
        <s v="RaKe / Team Evoc"/>
        <s v="TVC"/>
        <s v="IU"/>
        <s v="Larsmo IF"/>
        <s v="GIF / Prorog MTB Team"/>
        <s v="OP-P"/>
        <s v="PyöRi"/>
        <s v="Ei SP jäsenseura"/>
        <n v="0"/>
        <s v="GIF"/>
        <s v="JäPy"/>
        <s v="MSR"/>
        <s v="PoTa"/>
        <s v="VeloSaimaa"/>
        <s v="JoensPy"/>
        <s v="PVCC"/>
        <s v="KangKi"/>
        <s v="IK-32"/>
      </sharedItems>
    </cacheField>
    <cacheField name="IndXCO" numFmtId="0">
      <sharedItems containsSemiMixedTypes="0" containsString="0" containsNumber="1" containsInteger="1" minValue="3" maxValue="11"/>
    </cacheField>
    <cacheField name="PstXCO" numFmtId="0">
      <sharedItems containsSemiMixedTypes="0" containsString="0" containsNumber="1" containsInteger="1" minValue="7" maxValue="20"/>
    </cacheField>
    <cacheField name="IndXCC" numFmtId="0">
      <sharedItems containsMixedTypes="1" containsNumber="1" containsInteger="1" minValue="3" maxValue="10"/>
    </cacheField>
    <cacheField name="PstXCC" numFmtId="0">
      <sharedItems containsMixedTypes="1" containsNumber="1" containsInteger="1" minValue="1" maxValue="10"/>
    </cacheField>
    <cacheField name="Pisteet" numFmtId="0">
      <sharedItems containsSemiMixedTypes="0" containsString="0" containsNumber="1" containsInteger="1" minValue="1" maxValue="20"/>
    </cacheField>
  </cacheFields>
  <extLst>
    <ext xmlns:x14="http://schemas.microsoft.com/office/spreadsheetml/2009/9/main" uri="{725AE2AE-9491-48be-B2B4-4EB974FC3084}">
      <x14:pivotCacheDefinition pivotCacheId="36057751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s v="XCO"/>
    <x v="0"/>
    <x v="0"/>
    <n v="1"/>
    <x v="0"/>
    <x v="0"/>
    <n v="3"/>
    <n v="20"/>
    <n v="3"/>
    <n v="10"/>
    <n v="20"/>
  </r>
  <r>
    <s v="XCO"/>
    <x v="0"/>
    <x v="0"/>
    <n v="2"/>
    <x v="1"/>
    <x v="1"/>
    <n v="4"/>
    <n v="17"/>
    <n v="4"/>
    <n v="8"/>
    <n v="17"/>
  </r>
  <r>
    <s v="XCO"/>
    <x v="0"/>
    <x v="0"/>
    <n v="3"/>
    <x v="2"/>
    <x v="0"/>
    <n v="5"/>
    <n v="15"/>
    <n v="5"/>
    <n v="6"/>
    <n v="15"/>
  </r>
  <r>
    <s v="XCO"/>
    <x v="0"/>
    <x v="0"/>
    <n v="4"/>
    <x v="3"/>
    <x v="2"/>
    <n v="6"/>
    <n v="13"/>
    <n v="6"/>
    <n v="5"/>
    <n v="13"/>
  </r>
  <r>
    <s v="XCO"/>
    <x v="0"/>
    <x v="1"/>
    <n v="1"/>
    <x v="4"/>
    <x v="3"/>
    <n v="3"/>
    <n v="20"/>
    <n v="3"/>
    <n v="10"/>
    <n v="20"/>
  </r>
  <r>
    <s v="XCO"/>
    <x v="0"/>
    <x v="2"/>
    <n v="1"/>
    <x v="5"/>
    <x v="3"/>
    <n v="3"/>
    <n v="20"/>
    <n v="3"/>
    <n v="10"/>
    <n v="20"/>
  </r>
  <r>
    <s v="XCO"/>
    <x v="0"/>
    <x v="2"/>
    <n v="2"/>
    <x v="6"/>
    <x v="4"/>
    <n v="4"/>
    <n v="17"/>
    <n v="4"/>
    <n v="8"/>
    <n v="17"/>
  </r>
  <r>
    <s v="XCO"/>
    <x v="0"/>
    <x v="2"/>
    <n v="3"/>
    <x v="7"/>
    <x v="5"/>
    <n v="5"/>
    <n v="15"/>
    <n v="5"/>
    <n v="6"/>
    <n v="15"/>
  </r>
  <r>
    <s v="XCO"/>
    <x v="0"/>
    <x v="2"/>
    <n v="4"/>
    <x v="8"/>
    <x v="6"/>
    <n v="6"/>
    <n v="13"/>
    <n v="6"/>
    <n v="5"/>
    <n v="13"/>
  </r>
  <r>
    <s v="XCO"/>
    <x v="0"/>
    <x v="3"/>
    <n v="1"/>
    <x v="9"/>
    <x v="7"/>
    <n v="3"/>
    <n v="20"/>
    <n v="3"/>
    <n v="10"/>
    <n v="20"/>
  </r>
  <r>
    <s v="XCO"/>
    <x v="0"/>
    <x v="3"/>
    <n v="2"/>
    <x v="10"/>
    <x v="8"/>
    <n v="4"/>
    <n v="17"/>
    <n v="4"/>
    <n v="8"/>
    <n v="17"/>
  </r>
  <r>
    <s v="XCO"/>
    <x v="0"/>
    <x v="3"/>
    <n v="3"/>
    <x v="11"/>
    <x v="3"/>
    <n v="5"/>
    <n v="15"/>
    <n v="5"/>
    <n v="6"/>
    <n v="15"/>
  </r>
  <r>
    <s v="XCO"/>
    <x v="0"/>
    <x v="3"/>
    <n v="4"/>
    <x v="12"/>
    <x v="9"/>
    <n v="6"/>
    <n v="13"/>
    <n v="6"/>
    <n v="5"/>
    <n v="13"/>
  </r>
  <r>
    <s v="XCO"/>
    <x v="0"/>
    <x v="3"/>
    <n v="5"/>
    <x v="13"/>
    <x v="1"/>
    <n v="7"/>
    <n v="11"/>
    <n v="7"/>
    <n v="4"/>
    <n v="11"/>
  </r>
  <r>
    <s v="XCO"/>
    <x v="0"/>
    <x v="3"/>
    <n v="6"/>
    <x v="14"/>
    <x v="10"/>
    <n v="8"/>
    <n v="10"/>
    <n v="8"/>
    <n v="3"/>
    <n v="10"/>
  </r>
  <r>
    <s v="XCO"/>
    <x v="0"/>
    <x v="3"/>
    <n v="7"/>
    <x v="15"/>
    <x v="9"/>
    <n v="9"/>
    <n v="9"/>
    <n v="9"/>
    <n v="2"/>
    <n v="9"/>
  </r>
  <r>
    <s v="XCO"/>
    <x v="0"/>
    <x v="4"/>
    <n v="1"/>
    <x v="16"/>
    <x v="11"/>
    <n v="3"/>
    <n v="20"/>
    <n v="3"/>
    <n v="10"/>
    <n v="20"/>
  </r>
  <r>
    <s v="XCO"/>
    <x v="0"/>
    <x v="4"/>
    <n v="2"/>
    <x v="17"/>
    <x v="12"/>
    <n v="4"/>
    <n v="17"/>
    <n v="4"/>
    <n v="8"/>
    <n v="17"/>
  </r>
  <r>
    <s v="XCO"/>
    <x v="0"/>
    <x v="5"/>
    <n v="1"/>
    <x v="18"/>
    <x v="3"/>
    <n v="3"/>
    <n v="20"/>
    <n v="3"/>
    <n v="10"/>
    <n v="20"/>
  </r>
  <r>
    <s v="XCO"/>
    <x v="0"/>
    <x v="5"/>
    <n v="2"/>
    <x v="19"/>
    <x v="3"/>
    <n v="4"/>
    <n v="17"/>
    <n v="4"/>
    <n v="8"/>
    <n v="17"/>
  </r>
  <r>
    <s v="XCO"/>
    <x v="0"/>
    <x v="5"/>
    <n v="3"/>
    <x v="20"/>
    <x v="13"/>
    <n v="5"/>
    <n v="15"/>
    <n v="5"/>
    <n v="6"/>
    <n v="15"/>
  </r>
  <r>
    <s v="XCO"/>
    <x v="0"/>
    <x v="5"/>
    <n v="4"/>
    <x v="21"/>
    <x v="11"/>
    <n v="6"/>
    <n v="13"/>
    <n v="6"/>
    <n v="5"/>
    <n v="13"/>
  </r>
  <r>
    <s v="XCO"/>
    <x v="1"/>
    <x v="0"/>
    <n v="1"/>
    <x v="22"/>
    <x v="14"/>
    <n v="3"/>
    <n v="20"/>
    <n v="3"/>
    <n v="10"/>
    <n v="20"/>
  </r>
  <r>
    <s v="XCO"/>
    <x v="1"/>
    <x v="0"/>
    <n v="2"/>
    <x v="1"/>
    <x v="1"/>
    <n v="4"/>
    <n v="17"/>
    <n v="4"/>
    <n v="8"/>
    <n v="17"/>
  </r>
  <r>
    <s v="XCO"/>
    <x v="1"/>
    <x v="0"/>
    <n v="3"/>
    <x v="23"/>
    <x v="15"/>
    <n v="5"/>
    <n v="15"/>
    <n v="5"/>
    <n v="6"/>
    <n v="15"/>
  </r>
  <r>
    <s v="XCO"/>
    <x v="1"/>
    <x v="0"/>
    <n v="4"/>
    <x v="24"/>
    <x v="11"/>
    <n v="6"/>
    <n v="13"/>
    <n v="6"/>
    <n v="5"/>
    <n v="13"/>
  </r>
  <r>
    <s v="XCO"/>
    <x v="1"/>
    <x v="1"/>
    <n v="1"/>
    <x v="25"/>
    <x v="8"/>
    <n v="3"/>
    <n v="20"/>
    <n v="3"/>
    <n v="10"/>
    <n v="20"/>
  </r>
  <r>
    <s v="XCO"/>
    <x v="1"/>
    <x v="1"/>
    <n v="2"/>
    <x v="26"/>
    <x v="16"/>
    <n v="4"/>
    <n v="17"/>
    <n v="4"/>
    <n v="8"/>
    <n v="17"/>
  </r>
  <r>
    <s v="XCO"/>
    <x v="1"/>
    <x v="6"/>
    <n v="1"/>
    <x v="27"/>
    <x v="10"/>
    <n v="3"/>
    <n v="20"/>
    <n v="3"/>
    <n v="10"/>
    <n v="20"/>
  </r>
  <r>
    <s v="XCO"/>
    <x v="1"/>
    <x v="2"/>
    <n v="1"/>
    <x v="28"/>
    <x v="17"/>
    <n v="3"/>
    <n v="20"/>
    <n v="3"/>
    <n v="10"/>
    <n v="20"/>
  </r>
  <r>
    <s v="XCO"/>
    <x v="1"/>
    <x v="2"/>
    <n v="2"/>
    <x v="5"/>
    <x v="3"/>
    <n v="4"/>
    <n v="17"/>
    <n v="4"/>
    <n v="8"/>
    <n v="17"/>
  </r>
  <r>
    <s v="XCO"/>
    <x v="1"/>
    <x v="2"/>
    <n v="3"/>
    <x v="6"/>
    <x v="4"/>
    <n v="5"/>
    <n v="15"/>
    <n v="5"/>
    <n v="6"/>
    <n v="15"/>
  </r>
  <r>
    <s v="XCO"/>
    <x v="1"/>
    <x v="2"/>
    <n v="4"/>
    <x v="29"/>
    <x v="18"/>
    <n v="6"/>
    <n v="13"/>
    <n v="6"/>
    <n v="5"/>
    <n v="13"/>
  </r>
  <r>
    <s v="XCO"/>
    <x v="1"/>
    <x v="2"/>
    <n v="5"/>
    <x v="30"/>
    <x v="19"/>
    <n v="7"/>
    <n v="11"/>
    <n v="7"/>
    <n v="4"/>
    <n v="11"/>
  </r>
  <r>
    <s v="XCO"/>
    <x v="1"/>
    <x v="4"/>
    <n v="1"/>
    <x v="31"/>
    <x v="15"/>
    <n v="3"/>
    <n v="20"/>
    <n v="3"/>
    <n v="10"/>
    <n v="20"/>
  </r>
  <r>
    <s v="XCO"/>
    <x v="1"/>
    <x v="4"/>
    <n v="2"/>
    <x v="17"/>
    <x v="12"/>
    <n v="4"/>
    <n v="17"/>
    <n v="4"/>
    <n v="8"/>
    <n v="17"/>
  </r>
  <r>
    <s v="XCO"/>
    <x v="1"/>
    <x v="5"/>
    <n v="1"/>
    <x v="19"/>
    <x v="3"/>
    <n v="3"/>
    <n v="20"/>
    <n v="3"/>
    <n v="10"/>
    <n v="20"/>
  </r>
  <r>
    <s v="XCO"/>
    <x v="1"/>
    <x v="3"/>
    <n v="1"/>
    <x v="32"/>
    <x v="20"/>
    <n v="3"/>
    <n v="20"/>
    <n v="3"/>
    <n v="10"/>
    <n v="20"/>
  </r>
  <r>
    <s v="XCO"/>
    <x v="1"/>
    <x v="3"/>
    <n v="2"/>
    <x v="9"/>
    <x v="7"/>
    <n v="4"/>
    <n v="17"/>
    <n v="4"/>
    <n v="8"/>
    <n v="17"/>
  </r>
  <r>
    <s v="XCO"/>
    <x v="1"/>
    <x v="3"/>
    <n v="3"/>
    <x v="33"/>
    <x v="21"/>
    <n v="5"/>
    <n v="15"/>
    <n v="5"/>
    <n v="6"/>
    <n v="15"/>
  </r>
  <r>
    <s v="XCO"/>
    <x v="1"/>
    <x v="3"/>
    <n v="4"/>
    <x v="10"/>
    <x v="8"/>
    <n v="6"/>
    <n v="13"/>
    <n v="6"/>
    <n v="5"/>
    <n v="13"/>
  </r>
  <r>
    <s v="XCO"/>
    <x v="1"/>
    <x v="3"/>
    <n v="5"/>
    <x v="34"/>
    <x v="9"/>
    <n v="7"/>
    <n v="11"/>
    <n v="7"/>
    <n v="4"/>
    <n v="11"/>
  </r>
  <r>
    <s v="XCO"/>
    <x v="1"/>
    <x v="3"/>
    <n v="6"/>
    <x v="14"/>
    <x v="10"/>
    <n v="8"/>
    <n v="10"/>
    <n v="8"/>
    <n v="3"/>
    <n v="10"/>
  </r>
  <r>
    <s v="XCC"/>
    <x v="2"/>
    <x v="0"/>
    <n v="1"/>
    <x v="35"/>
    <x v="22"/>
    <n v="3"/>
    <n v="20"/>
    <n v="3"/>
    <n v="10"/>
    <n v="10"/>
  </r>
  <r>
    <s v="XCC"/>
    <x v="2"/>
    <x v="2"/>
    <n v="1"/>
    <x v="6"/>
    <x v="4"/>
    <n v="3"/>
    <n v="20"/>
    <n v="3"/>
    <n v="10"/>
    <n v="10"/>
  </r>
  <r>
    <s v="XCC"/>
    <x v="2"/>
    <x v="2"/>
    <n v="2"/>
    <x v="36"/>
    <x v="23"/>
    <n v="4"/>
    <n v="17"/>
    <n v="4"/>
    <n v="8"/>
    <n v="8"/>
  </r>
  <r>
    <s v="XCC"/>
    <x v="2"/>
    <x v="2"/>
    <n v="3"/>
    <x v="37"/>
    <x v="13"/>
    <n v="5"/>
    <n v="15"/>
    <n v="5"/>
    <n v="6"/>
    <n v="6"/>
  </r>
  <r>
    <s v="XCC"/>
    <x v="2"/>
    <x v="6"/>
    <n v="1"/>
    <x v="23"/>
    <x v="15"/>
    <n v="3"/>
    <n v="20"/>
    <n v="3"/>
    <n v="10"/>
    <n v="10"/>
  </r>
  <r>
    <s v="XCC"/>
    <x v="2"/>
    <x v="6"/>
    <n v="2"/>
    <x v="38"/>
    <x v="24"/>
    <n v="4"/>
    <n v="17"/>
    <n v="4"/>
    <n v="8"/>
    <n v="8"/>
  </r>
  <r>
    <s v="XCC"/>
    <x v="2"/>
    <x v="6"/>
    <n v="3"/>
    <x v="27"/>
    <x v="10"/>
    <n v="5"/>
    <n v="15"/>
    <n v="5"/>
    <n v="6"/>
    <n v="6"/>
  </r>
  <r>
    <s v="XCC"/>
    <x v="2"/>
    <x v="6"/>
    <n v="4"/>
    <x v="3"/>
    <x v="2"/>
    <n v="6"/>
    <n v="13"/>
    <n v="6"/>
    <n v="5"/>
    <n v="5"/>
  </r>
  <r>
    <s v="XCC"/>
    <x v="2"/>
    <x v="6"/>
    <n v="5"/>
    <x v="39"/>
    <x v="1"/>
    <n v="7"/>
    <n v="11"/>
    <n v="7"/>
    <n v="4"/>
    <n v="4"/>
  </r>
  <r>
    <s v="XCC"/>
    <x v="2"/>
    <x v="3"/>
    <n v="1"/>
    <x v="10"/>
    <x v="8"/>
    <n v="3"/>
    <n v="20"/>
    <n v="3"/>
    <n v="10"/>
    <n v="10"/>
  </r>
  <r>
    <s v="XCC"/>
    <x v="2"/>
    <x v="3"/>
    <n v="2"/>
    <x v="9"/>
    <x v="7"/>
    <n v="4"/>
    <n v="17"/>
    <n v="4"/>
    <n v="8"/>
    <n v="8"/>
  </r>
  <r>
    <s v="XCC"/>
    <x v="2"/>
    <x v="3"/>
    <n v="3"/>
    <x v="12"/>
    <x v="9"/>
    <n v="5"/>
    <n v="15"/>
    <n v="5"/>
    <n v="6"/>
    <n v="6"/>
  </r>
  <r>
    <s v="XCC"/>
    <x v="2"/>
    <x v="1"/>
    <n v="1"/>
    <x v="40"/>
    <x v="25"/>
    <n v="3"/>
    <n v="20"/>
    <n v="3"/>
    <n v="10"/>
    <n v="10"/>
  </r>
  <r>
    <s v="XCC"/>
    <x v="2"/>
    <x v="1"/>
    <n v="2"/>
    <x v="41"/>
    <x v="2"/>
    <n v="4"/>
    <n v="17"/>
    <n v="4"/>
    <n v="8"/>
    <n v="8"/>
  </r>
  <r>
    <s v="XCC"/>
    <x v="2"/>
    <x v="1"/>
    <n v="3"/>
    <x v="42"/>
    <x v="1"/>
    <n v="5"/>
    <n v="15"/>
    <n v="5"/>
    <n v="6"/>
    <n v="6"/>
  </r>
  <r>
    <s v="XCC"/>
    <x v="2"/>
    <x v="1"/>
    <n v="4"/>
    <x v="26"/>
    <x v="16"/>
    <n v="6"/>
    <n v="13"/>
    <n v="6"/>
    <n v="5"/>
    <n v="5"/>
  </r>
  <r>
    <s v="XCC"/>
    <x v="2"/>
    <x v="4"/>
    <n v="1"/>
    <x v="43"/>
    <x v="19"/>
    <n v="3"/>
    <n v="20"/>
    <n v="3"/>
    <n v="10"/>
    <n v="10"/>
  </r>
  <r>
    <s v="XCC"/>
    <x v="2"/>
    <x v="4"/>
    <n v="2"/>
    <x v="44"/>
    <x v="8"/>
    <n v="4"/>
    <n v="17"/>
    <n v="4"/>
    <n v="8"/>
    <n v="8"/>
  </r>
  <r>
    <s v="XCC"/>
    <x v="2"/>
    <x v="4"/>
    <n v="3"/>
    <x v="17"/>
    <x v="12"/>
    <n v="5"/>
    <n v="15"/>
    <n v="5"/>
    <n v="6"/>
    <n v="6"/>
  </r>
  <r>
    <s v="XCC"/>
    <x v="2"/>
    <x v="4"/>
    <n v="4"/>
    <x v="45"/>
    <x v="10"/>
    <n v="6"/>
    <n v="13"/>
    <n v="6"/>
    <n v="5"/>
    <n v="5"/>
  </r>
  <r>
    <s v="XCC"/>
    <x v="2"/>
    <x v="4"/>
    <n v="5"/>
    <x v="46"/>
    <x v="26"/>
    <n v="7"/>
    <n v="11"/>
    <n v="7"/>
    <n v="4"/>
    <n v="4"/>
  </r>
  <r>
    <s v="XCC"/>
    <x v="2"/>
    <x v="4"/>
    <n v="6"/>
    <x v="47"/>
    <x v="10"/>
    <n v="8"/>
    <n v="10"/>
    <n v="8"/>
    <n v="3"/>
    <n v="3"/>
  </r>
  <r>
    <s v="XCC"/>
    <x v="2"/>
    <x v="5"/>
    <n v="1"/>
    <x v="19"/>
    <x v="3"/>
    <n v="3"/>
    <n v="20"/>
    <n v="3"/>
    <n v="10"/>
    <n v="10"/>
  </r>
  <r>
    <s v="XCO"/>
    <x v="3"/>
    <x v="0"/>
    <n v="1"/>
    <x v="22"/>
    <x v="14"/>
    <n v="3"/>
    <n v="20"/>
    <n v="3"/>
    <n v="10"/>
    <n v="20"/>
  </r>
  <r>
    <s v="XCO"/>
    <x v="3"/>
    <x v="0"/>
    <n v="2"/>
    <x v="35"/>
    <x v="22"/>
    <n v="4"/>
    <n v="17"/>
    <n v="4"/>
    <n v="8"/>
    <n v="17"/>
  </r>
  <r>
    <s v="XCO"/>
    <x v="3"/>
    <x v="2"/>
    <n v="1"/>
    <x v="6"/>
    <x v="4"/>
    <n v="3"/>
    <n v="20"/>
    <n v="3"/>
    <n v="10"/>
    <n v="20"/>
  </r>
  <r>
    <s v="XCO"/>
    <x v="3"/>
    <x v="2"/>
    <n v="2"/>
    <x v="48"/>
    <x v="26"/>
    <n v="4"/>
    <n v="17"/>
    <n v="4"/>
    <n v="8"/>
    <n v="17"/>
  </r>
  <r>
    <s v="XCO"/>
    <x v="3"/>
    <x v="2"/>
    <n v="3"/>
    <x v="49"/>
    <x v="10"/>
    <n v="5"/>
    <n v="15"/>
    <n v="5"/>
    <n v="6"/>
    <n v="15"/>
  </r>
  <r>
    <s v="XCO"/>
    <x v="3"/>
    <x v="2"/>
    <n v="4"/>
    <x v="37"/>
    <x v="13"/>
    <n v="6"/>
    <n v="13"/>
    <n v="6"/>
    <n v="5"/>
    <n v="13"/>
  </r>
  <r>
    <s v="XCO"/>
    <x v="3"/>
    <x v="6"/>
    <n v="1"/>
    <x v="23"/>
    <x v="15"/>
    <n v="3"/>
    <n v="20"/>
    <n v="3"/>
    <n v="10"/>
    <n v="20"/>
  </r>
  <r>
    <s v="XCO"/>
    <x v="3"/>
    <x v="6"/>
    <n v="2"/>
    <x v="38"/>
    <x v="24"/>
    <n v="4"/>
    <n v="17"/>
    <n v="4"/>
    <n v="8"/>
    <n v="17"/>
  </r>
  <r>
    <s v="XCO"/>
    <x v="3"/>
    <x v="6"/>
    <n v="3"/>
    <x v="27"/>
    <x v="10"/>
    <n v="5"/>
    <n v="15"/>
    <n v="5"/>
    <n v="6"/>
    <n v="15"/>
  </r>
  <r>
    <s v="XCO"/>
    <x v="3"/>
    <x v="6"/>
    <n v="4"/>
    <x v="3"/>
    <x v="2"/>
    <n v="6"/>
    <n v="13"/>
    <n v="6"/>
    <n v="5"/>
    <n v="13"/>
  </r>
  <r>
    <s v="XCO"/>
    <x v="3"/>
    <x v="6"/>
    <n v="5"/>
    <x v="39"/>
    <x v="1"/>
    <n v="7"/>
    <n v="11"/>
    <n v="7"/>
    <n v="4"/>
    <n v="11"/>
  </r>
  <r>
    <s v="XCO"/>
    <x v="3"/>
    <x v="3"/>
    <n v="1"/>
    <x v="9"/>
    <x v="7"/>
    <n v="3"/>
    <n v="20"/>
    <n v="3"/>
    <n v="10"/>
    <n v="20"/>
  </r>
  <r>
    <s v="XCO"/>
    <x v="3"/>
    <x v="3"/>
    <n v="2"/>
    <x v="10"/>
    <x v="8"/>
    <n v="4"/>
    <n v="17"/>
    <n v="4"/>
    <n v="8"/>
    <n v="17"/>
  </r>
  <r>
    <s v="XCO"/>
    <x v="3"/>
    <x v="3"/>
    <n v="3"/>
    <x v="12"/>
    <x v="9"/>
    <n v="5"/>
    <n v="15"/>
    <n v="5"/>
    <n v="6"/>
    <n v="15"/>
  </r>
  <r>
    <s v="XCO"/>
    <x v="3"/>
    <x v="1"/>
    <n v="1"/>
    <x v="40"/>
    <x v="25"/>
    <n v="3"/>
    <n v="20"/>
    <n v="3"/>
    <n v="10"/>
    <n v="20"/>
  </r>
  <r>
    <s v="XCO"/>
    <x v="3"/>
    <x v="1"/>
    <n v="2"/>
    <x v="41"/>
    <x v="2"/>
    <n v="4"/>
    <n v="17"/>
    <n v="4"/>
    <n v="8"/>
    <n v="17"/>
  </r>
  <r>
    <s v="XCO"/>
    <x v="3"/>
    <x v="1"/>
    <n v="3"/>
    <x v="42"/>
    <x v="1"/>
    <n v="5"/>
    <n v="15"/>
    <n v="5"/>
    <n v="6"/>
    <n v="15"/>
  </r>
  <r>
    <s v="XCO"/>
    <x v="3"/>
    <x v="1"/>
    <n v="4"/>
    <x v="26"/>
    <x v="16"/>
    <n v="6"/>
    <n v="13"/>
    <n v="6"/>
    <n v="5"/>
    <n v="13"/>
  </r>
  <r>
    <s v="XCO"/>
    <x v="3"/>
    <x v="4"/>
    <n v="1"/>
    <x v="43"/>
    <x v="19"/>
    <n v="3"/>
    <n v="20"/>
    <n v="3"/>
    <n v="10"/>
    <n v="20"/>
  </r>
  <r>
    <s v="XCO"/>
    <x v="3"/>
    <x v="4"/>
    <n v="2"/>
    <x v="50"/>
    <x v="1"/>
    <n v="4"/>
    <n v="17"/>
    <n v="4"/>
    <n v="8"/>
    <n v="17"/>
  </r>
  <r>
    <s v="XCO"/>
    <x v="3"/>
    <x v="4"/>
    <n v="3"/>
    <x v="51"/>
    <x v="22"/>
    <n v="5"/>
    <n v="15"/>
    <n v="5"/>
    <n v="6"/>
    <n v="15"/>
  </r>
  <r>
    <s v="XCO"/>
    <x v="3"/>
    <x v="4"/>
    <n v="4"/>
    <x v="17"/>
    <x v="12"/>
    <n v="6"/>
    <n v="13"/>
    <n v="6"/>
    <n v="5"/>
    <n v="13"/>
  </r>
  <r>
    <s v="XCO"/>
    <x v="3"/>
    <x v="5"/>
    <n v="1"/>
    <x v="52"/>
    <x v="20"/>
    <n v="3"/>
    <n v="20"/>
    <n v="3"/>
    <n v="10"/>
    <n v="20"/>
  </r>
  <r>
    <s v="XCO"/>
    <x v="3"/>
    <x v="5"/>
    <n v="2"/>
    <x v="19"/>
    <x v="3"/>
    <n v="4"/>
    <n v="17"/>
    <n v="4"/>
    <n v="8"/>
    <n v="17"/>
  </r>
  <r>
    <s v="XCC"/>
    <x v="4"/>
    <x v="1"/>
    <n v="1"/>
    <x v="25"/>
    <x v="8"/>
    <n v="3"/>
    <n v="20"/>
    <n v="3"/>
    <n v="10"/>
    <n v="10"/>
  </r>
  <r>
    <s v="XCC"/>
    <x v="4"/>
    <x v="1"/>
    <n v="2"/>
    <x v="4"/>
    <x v="3"/>
    <n v="4"/>
    <n v="17"/>
    <n v="4"/>
    <n v="8"/>
    <n v="8"/>
  </r>
  <r>
    <s v="XCC"/>
    <x v="4"/>
    <x v="1"/>
    <n v="3"/>
    <x v="26"/>
    <x v="16"/>
    <n v="5"/>
    <n v="15"/>
    <n v="5"/>
    <n v="6"/>
    <n v="6"/>
  </r>
  <r>
    <s v="XCC"/>
    <x v="4"/>
    <x v="1"/>
    <n v="4"/>
    <x v="53"/>
    <x v="16"/>
    <n v="6"/>
    <n v="13"/>
    <n v="6"/>
    <n v="5"/>
    <n v="5"/>
  </r>
  <r>
    <s v="XCC"/>
    <x v="4"/>
    <x v="7"/>
    <n v="1"/>
    <x v="54"/>
    <x v="27"/>
    <n v="3"/>
    <n v="20"/>
    <n v="3"/>
    <n v="10"/>
    <n v="10"/>
  </r>
  <r>
    <s v="XCC"/>
    <x v="4"/>
    <x v="0"/>
    <n v="1"/>
    <x v="55"/>
    <x v="10"/>
    <n v="3"/>
    <n v="20"/>
    <n v="3"/>
    <n v="10"/>
    <n v="10"/>
  </r>
  <r>
    <s v="XCC"/>
    <x v="4"/>
    <x v="0"/>
    <n v="2"/>
    <x v="56"/>
    <x v="28"/>
    <n v="4"/>
    <n v="17"/>
    <n v="4"/>
    <n v="8"/>
    <n v="8"/>
  </r>
  <r>
    <s v="XCC"/>
    <x v="4"/>
    <x v="0"/>
    <n v="3"/>
    <x v="57"/>
    <x v="29"/>
    <n v="5"/>
    <n v="15"/>
    <n v="5"/>
    <n v="6"/>
    <n v="6"/>
  </r>
  <r>
    <s v="XCC"/>
    <x v="4"/>
    <x v="0"/>
    <n v="4"/>
    <x v="58"/>
    <x v="20"/>
    <n v="6"/>
    <n v="13"/>
    <n v="6"/>
    <n v="5"/>
    <n v="5"/>
  </r>
  <r>
    <s v="XCC"/>
    <x v="4"/>
    <x v="0"/>
    <n v="5"/>
    <x v="35"/>
    <x v="22"/>
    <n v="7"/>
    <n v="11"/>
    <n v="7"/>
    <n v="4"/>
    <n v="4"/>
  </r>
  <r>
    <s v="XCC"/>
    <x v="4"/>
    <x v="6"/>
    <n v="1"/>
    <x v="23"/>
    <x v="15"/>
    <n v="3"/>
    <n v="20"/>
    <n v="3"/>
    <n v="10"/>
    <n v="10"/>
  </r>
  <r>
    <s v="XCC"/>
    <x v="4"/>
    <x v="6"/>
    <n v="2"/>
    <x v="27"/>
    <x v="10"/>
    <n v="4"/>
    <n v="17"/>
    <n v="4"/>
    <n v="8"/>
    <n v="8"/>
  </r>
  <r>
    <s v="XCC"/>
    <x v="4"/>
    <x v="6"/>
    <n v="3"/>
    <x v="59"/>
    <x v="29"/>
    <n v="5"/>
    <n v="15"/>
    <n v="5"/>
    <n v="6"/>
    <n v="6"/>
  </r>
  <r>
    <s v="XCC"/>
    <x v="4"/>
    <x v="6"/>
    <n v="4"/>
    <x v="39"/>
    <x v="1"/>
    <n v="6"/>
    <n v="13"/>
    <n v="6"/>
    <n v="5"/>
    <n v="5"/>
  </r>
  <r>
    <s v="XCC"/>
    <x v="4"/>
    <x v="2"/>
    <n v="1"/>
    <x v="5"/>
    <x v="3"/>
    <n v="3"/>
    <n v="20"/>
    <n v="3"/>
    <n v="10"/>
    <n v="10"/>
  </r>
  <r>
    <s v="XCC"/>
    <x v="4"/>
    <x v="2"/>
    <n v="2"/>
    <x v="6"/>
    <x v="4"/>
    <n v="4"/>
    <n v="17"/>
    <n v="4"/>
    <n v="8"/>
    <n v="8"/>
  </r>
  <r>
    <s v="XCC"/>
    <x v="4"/>
    <x v="2"/>
    <n v="3"/>
    <x v="60"/>
    <x v="14"/>
    <n v="5"/>
    <n v="15"/>
    <n v="5"/>
    <n v="6"/>
    <n v="6"/>
  </r>
  <r>
    <s v="XCC"/>
    <x v="4"/>
    <x v="2"/>
    <n v="4"/>
    <x v="61"/>
    <x v="3"/>
    <n v="6"/>
    <n v="13"/>
    <n v="6"/>
    <n v="5"/>
    <n v="5"/>
  </r>
  <r>
    <s v="XCC"/>
    <x v="4"/>
    <x v="2"/>
    <n v="5"/>
    <x v="62"/>
    <x v="14"/>
    <n v="7"/>
    <n v="11"/>
    <n v="7"/>
    <n v="4"/>
    <n v="4"/>
  </r>
  <r>
    <s v="XCC"/>
    <x v="4"/>
    <x v="2"/>
    <n v="6"/>
    <x v="63"/>
    <x v="1"/>
    <n v="8"/>
    <n v="10"/>
    <n v="8"/>
    <n v="3"/>
    <n v="3"/>
  </r>
  <r>
    <s v="XCC"/>
    <x v="4"/>
    <x v="3"/>
    <n v="1"/>
    <x v="48"/>
    <x v="26"/>
    <n v="3"/>
    <n v="20"/>
    <n v="3"/>
    <n v="10"/>
    <n v="10"/>
  </r>
  <r>
    <s v="XCC"/>
    <x v="4"/>
    <x v="3"/>
    <n v="2"/>
    <x v="32"/>
    <x v="20"/>
    <n v="4"/>
    <n v="17"/>
    <n v="4"/>
    <n v="8"/>
    <n v="8"/>
  </r>
  <r>
    <s v="XCC"/>
    <x v="4"/>
    <x v="3"/>
    <n v="3"/>
    <x v="9"/>
    <x v="7"/>
    <n v="5"/>
    <n v="15"/>
    <n v="5"/>
    <n v="6"/>
    <n v="6"/>
  </r>
  <r>
    <s v="XCC"/>
    <x v="4"/>
    <x v="3"/>
    <n v="4"/>
    <x v="10"/>
    <x v="8"/>
    <n v="6"/>
    <n v="13"/>
    <n v="6"/>
    <n v="5"/>
    <n v="5"/>
  </r>
  <r>
    <s v="XCC"/>
    <x v="4"/>
    <x v="3"/>
    <n v="5"/>
    <x v="64"/>
    <x v="15"/>
    <n v="7"/>
    <n v="11"/>
    <n v="7"/>
    <n v="4"/>
    <n v="4"/>
  </r>
  <r>
    <s v="XCC"/>
    <x v="4"/>
    <x v="3"/>
    <n v="6"/>
    <x v="11"/>
    <x v="3"/>
    <n v="8"/>
    <n v="10"/>
    <n v="8"/>
    <n v="3"/>
    <n v="3"/>
  </r>
  <r>
    <s v="XCC"/>
    <x v="4"/>
    <x v="3"/>
    <n v="7"/>
    <x v="12"/>
    <x v="9"/>
    <n v="9"/>
    <n v="9"/>
    <n v="9"/>
    <n v="2"/>
    <n v="2"/>
  </r>
  <r>
    <s v="XCC"/>
    <x v="4"/>
    <x v="3"/>
    <n v="8"/>
    <x v="65"/>
    <x v="1"/>
    <n v="10"/>
    <n v="8"/>
    <n v="10"/>
    <n v="1"/>
    <n v="1"/>
  </r>
  <r>
    <s v="XCC"/>
    <x v="4"/>
    <x v="4"/>
    <n v="1"/>
    <x v="66"/>
    <x v="10"/>
    <n v="3"/>
    <n v="20"/>
    <n v="3"/>
    <n v="10"/>
    <n v="10"/>
  </r>
  <r>
    <s v="XCC"/>
    <x v="4"/>
    <x v="4"/>
    <n v="2"/>
    <x v="67"/>
    <x v="9"/>
    <n v="4"/>
    <n v="17"/>
    <n v="4"/>
    <n v="8"/>
    <n v="8"/>
  </r>
  <r>
    <s v="XCC"/>
    <x v="4"/>
    <x v="4"/>
    <n v="3"/>
    <x v="43"/>
    <x v="19"/>
    <n v="5"/>
    <n v="15"/>
    <n v="5"/>
    <n v="6"/>
    <n v="6"/>
  </r>
  <r>
    <s v="XCC"/>
    <x v="4"/>
    <x v="4"/>
    <n v="4"/>
    <x v="68"/>
    <x v="30"/>
    <n v="6"/>
    <n v="13"/>
    <n v="6"/>
    <n v="5"/>
    <n v="5"/>
  </r>
  <r>
    <s v="XCC"/>
    <x v="4"/>
    <x v="4"/>
    <n v="5"/>
    <x v="30"/>
    <x v="19"/>
    <n v="7"/>
    <n v="11"/>
    <n v="7"/>
    <n v="4"/>
    <n v="4"/>
  </r>
  <r>
    <s v="XCC"/>
    <x v="4"/>
    <x v="4"/>
    <n v="6"/>
    <x v="17"/>
    <x v="12"/>
    <n v="8"/>
    <n v="10"/>
    <n v="8"/>
    <n v="3"/>
    <n v="3"/>
  </r>
  <r>
    <s v="XCC"/>
    <x v="4"/>
    <x v="4"/>
    <n v="7"/>
    <x v="44"/>
    <x v="8"/>
    <n v="9"/>
    <n v="9"/>
    <n v="9"/>
    <n v="2"/>
    <n v="2"/>
  </r>
  <r>
    <s v="XCC"/>
    <x v="4"/>
    <x v="4"/>
    <n v="8"/>
    <x v="69"/>
    <x v="20"/>
    <n v="10"/>
    <n v="8"/>
    <n v="10"/>
    <n v="1"/>
    <n v="1"/>
  </r>
  <r>
    <s v="XCC"/>
    <x v="4"/>
    <x v="5"/>
    <n v="1"/>
    <x v="52"/>
    <x v="20"/>
    <n v="3"/>
    <n v="20"/>
    <n v="3"/>
    <n v="10"/>
    <n v="10"/>
  </r>
  <r>
    <s v="XCC"/>
    <x v="4"/>
    <x v="5"/>
    <n v="2"/>
    <x v="70"/>
    <x v="6"/>
    <n v="4"/>
    <n v="17"/>
    <n v="4"/>
    <n v="8"/>
    <n v="8"/>
  </r>
  <r>
    <s v="XCC"/>
    <x v="4"/>
    <x v="5"/>
    <n v="3"/>
    <x v="19"/>
    <x v="3"/>
    <n v="5"/>
    <n v="15"/>
    <n v="5"/>
    <n v="6"/>
    <n v="6"/>
  </r>
  <r>
    <s v="XCC"/>
    <x v="4"/>
    <x v="5"/>
    <n v="4"/>
    <x v="71"/>
    <x v="31"/>
    <n v="6"/>
    <n v="13"/>
    <n v="6"/>
    <n v="5"/>
    <n v="5"/>
  </r>
  <r>
    <s v="XCC"/>
    <x v="4"/>
    <x v="5"/>
    <n v="5"/>
    <x v="72"/>
    <x v="18"/>
    <n v="7"/>
    <n v="11"/>
    <n v="7"/>
    <n v="4"/>
    <n v="4"/>
  </r>
  <r>
    <s v="XCO"/>
    <x v="5"/>
    <x v="3"/>
    <n v="1"/>
    <x v="32"/>
    <x v="20"/>
    <n v="3"/>
    <n v="20"/>
    <n v="3"/>
    <n v="10"/>
    <n v="20"/>
  </r>
  <r>
    <s v="XCO"/>
    <x v="5"/>
    <x v="3"/>
    <n v="2"/>
    <x v="48"/>
    <x v="26"/>
    <n v="4"/>
    <n v="17"/>
    <n v="4"/>
    <n v="8"/>
    <n v="17"/>
  </r>
  <r>
    <s v="XCO"/>
    <x v="5"/>
    <x v="3"/>
    <n v="3"/>
    <x v="10"/>
    <x v="8"/>
    <n v="5"/>
    <n v="15"/>
    <n v="5"/>
    <n v="6"/>
    <n v="15"/>
  </r>
  <r>
    <s v="XCO"/>
    <x v="5"/>
    <x v="3"/>
    <n v="4"/>
    <x v="9"/>
    <x v="7"/>
    <n v="6"/>
    <n v="13"/>
    <n v="6"/>
    <n v="5"/>
    <n v="13"/>
  </r>
  <r>
    <s v="XCO"/>
    <x v="5"/>
    <x v="3"/>
    <n v="5"/>
    <x v="64"/>
    <x v="15"/>
    <n v="7"/>
    <n v="11"/>
    <n v="7"/>
    <n v="4"/>
    <n v="11"/>
  </r>
  <r>
    <s v="XCO"/>
    <x v="5"/>
    <x v="3"/>
    <n v="6"/>
    <x v="11"/>
    <x v="3"/>
    <n v="8"/>
    <n v="10"/>
    <n v="8"/>
    <n v="3"/>
    <n v="10"/>
  </r>
  <r>
    <s v="XCO"/>
    <x v="5"/>
    <x v="3"/>
    <n v="7"/>
    <x v="12"/>
    <x v="9"/>
    <n v="9"/>
    <n v="9"/>
    <n v="9"/>
    <n v="2"/>
    <n v="9"/>
  </r>
  <r>
    <s v="XCO"/>
    <x v="5"/>
    <x v="3"/>
    <n v="8"/>
    <x v="34"/>
    <x v="9"/>
    <n v="10"/>
    <n v="8"/>
    <n v="10"/>
    <n v="1"/>
    <n v="8"/>
  </r>
  <r>
    <s v="XCO"/>
    <x v="5"/>
    <x v="3"/>
    <n v="9"/>
    <x v="14"/>
    <x v="10"/>
    <n v="11"/>
    <n v="7"/>
    <e v="#N/A"/>
    <e v="#N/A"/>
    <n v="7"/>
  </r>
  <r>
    <s v="XCO"/>
    <x v="5"/>
    <x v="0"/>
    <n v="1"/>
    <x v="22"/>
    <x v="14"/>
    <n v="3"/>
    <n v="20"/>
    <n v="3"/>
    <n v="10"/>
    <n v="20"/>
  </r>
  <r>
    <s v="XCO"/>
    <x v="5"/>
    <x v="0"/>
    <n v="2"/>
    <x v="1"/>
    <x v="1"/>
    <n v="4"/>
    <n v="17"/>
    <n v="4"/>
    <n v="8"/>
    <n v="17"/>
  </r>
  <r>
    <s v="XCO"/>
    <x v="5"/>
    <x v="0"/>
    <n v="3"/>
    <x v="2"/>
    <x v="0"/>
    <n v="5"/>
    <n v="15"/>
    <n v="5"/>
    <n v="6"/>
    <n v="15"/>
  </r>
  <r>
    <s v="XCO"/>
    <x v="5"/>
    <x v="0"/>
    <n v="4"/>
    <x v="55"/>
    <x v="10"/>
    <n v="6"/>
    <n v="13"/>
    <n v="6"/>
    <n v="5"/>
    <n v="13"/>
  </r>
  <r>
    <s v="XCO"/>
    <x v="5"/>
    <x v="0"/>
    <n v="5"/>
    <x v="35"/>
    <x v="22"/>
    <n v="7"/>
    <n v="11"/>
    <n v="7"/>
    <n v="4"/>
    <n v="11"/>
  </r>
  <r>
    <s v="XCO"/>
    <x v="5"/>
    <x v="2"/>
    <n v="1"/>
    <x v="5"/>
    <x v="3"/>
    <n v="3"/>
    <n v="20"/>
    <n v="3"/>
    <n v="10"/>
    <n v="20"/>
  </r>
  <r>
    <s v="XCO"/>
    <x v="5"/>
    <x v="2"/>
    <n v="2"/>
    <x v="60"/>
    <x v="14"/>
    <n v="4"/>
    <n v="17"/>
    <n v="4"/>
    <n v="8"/>
    <n v="17"/>
  </r>
  <r>
    <s v="XCO"/>
    <x v="5"/>
    <x v="2"/>
    <n v="3"/>
    <x v="73"/>
    <x v="9"/>
    <n v="5"/>
    <n v="15"/>
    <n v="5"/>
    <n v="6"/>
    <n v="15"/>
  </r>
  <r>
    <s v="XCO"/>
    <x v="5"/>
    <x v="7"/>
    <n v="1"/>
    <x v="74"/>
    <x v="32"/>
    <n v="3"/>
    <n v="20"/>
    <n v="3"/>
    <n v="10"/>
    <n v="20"/>
  </r>
  <r>
    <s v="XCO"/>
    <x v="5"/>
    <x v="8"/>
    <n v="1"/>
    <x v="75"/>
    <x v="33"/>
    <n v="3"/>
    <n v="20"/>
    <n v="3"/>
    <n v="10"/>
    <n v="20"/>
  </r>
  <r>
    <s v="XCO"/>
    <x v="5"/>
    <x v="1"/>
    <n v="1"/>
    <x v="4"/>
    <x v="3"/>
    <n v="3"/>
    <n v="20"/>
    <n v="3"/>
    <n v="10"/>
    <n v="20"/>
  </r>
  <r>
    <s v="XCO"/>
    <x v="5"/>
    <x v="1"/>
    <n v="2"/>
    <x v="25"/>
    <x v="8"/>
    <n v="4"/>
    <n v="17"/>
    <n v="4"/>
    <n v="8"/>
    <n v="17"/>
  </r>
  <r>
    <s v="XCO"/>
    <x v="5"/>
    <x v="1"/>
    <n v="3"/>
    <x v="76"/>
    <x v="27"/>
    <n v="5"/>
    <n v="15"/>
    <n v="5"/>
    <n v="6"/>
    <n v="15"/>
  </r>
  <r>
    <s v="XCO"/>
    <x v="5"/>
    <x v="4"/>
    <n v="1"/>
    <x v="68"/>
    <x v="30"/>
    <n v="3"/>
    <n v="20"/>
    <n v="3"/>
    <n v="10"/>
    <n v="20"/>
  </r>
  <r>
    <s v="XCO"/>
    <x v="5"/>
    <x v="4"/>
    <n v="2"/>
    <x v="43"/>
    <x v="19"/>
    <n v="4"/>
    <n v="17"/>
    <n v="4"/>
    <n v="8"/>
    <n v="17"/>
  </r>
  <r>
    <s v="XCO"/>
    <x v="5"/>
    <x v="4"/>
    <n v="3"/>
    <x v="67"/>
    <x v="9"/>
    <n v="5"/>
    <n v="15"/>
    <n v="5"/>
    <n v="6"/>
    <n v="15"/>
  </r>
  <r>
    <s v="XCO"/>
    <x v="5"/>
    <x v="4"/>
    <n v="4"/>
    <x v="66"/>
    <x v="10"/>
    <n v="6"/>
    <n v="13"/>
    <n v="6"/>
    <n v="5"/>
    <n v="13"/>
  </r>
  <r>
    <s v="XCO"/>
    <x v="5"/>
    <x v="4"/>
    <n v="5"/>
    <x v="77"/>
    <x v="34"/>
    <n v="7"/>
    <n v="11"/>
    <n v="7"/>
    <n v="4"/>
    <n v="11"/>
  </r>
  <r>
    <s v="XCO"/>
    <x v="5"/>
    <x v="4"/>
    <n v="6"/>
    <x v="51"/>
    <x v="22"/>
    <n v="8"/>
    <n v="10"/>
    <n v="8"/>
    <n v="3"/>
    <n v="10"/>
  </r>
  <r>
    <s v="XCO"/>
    <x v="5"/>
    <x v="4"/>
    <n v="7"/>
    <x v="17"/>
    <x v="12"/>
    <n v="9"/>
    <n v="9"/>
    <n v="9"/>
    <n v="2"/>
    <n v="9"/>
  </r>
  <r>
    <s v="XCO"/>
    <x v="5"/>
    <x v="4"/>
    <n v="8"/>
    <x v="69"/>
    <x v="20"/>
    <n v="10"/>
    <n v="8"/>
    <n v="10"/>
    <n v="1"/>
    <n v="8"/>
  </r>
  <r>
    <s v="XCO"/>
    <x v="5"/>
    <x v="5"/>
    <n v="1"/>
    <x v="78"/>
    <x v="11"/>
    <n v="3"/>
    <n v="20"/>
    <n v="3"/>
    <n v="10"/>
    <n v="20"/>
  </r>
  <r>
    <s v="XCO"/>
    <x v="5"/>
    <x v="5"/>
    <n v="2"/>
    <x v="19"/>
    <x v="3"/>
    <n v="4"/>
    <n v="17"/>
    <n v="4"/>
    <n v="8"/>
    <n v="17"/>
  </r>
  <r>
    <s v="XCO"/>
    <x v="5"/>
    <x v="5"/>
    <n v="3"/>
    <x v="52"/>
    <x v="20"/>
    <n v="5"/>
    <n v="15"/>
    <n v="5"/>
    <n v="6"/>
    <n v="15"/>
  </r>
  <r>
    <s v="XCO"/>
    <x v="5"/>
    <x v="5"/>
    <n v="4"/>
    <x v="21"/>
    <x v="11"/>
    <n v="6"/>
    <n v="13"/>
    <n v="6"/>
    <n v="5"/>
    <n v="13"/>
  </r>
  <r>
    <s v="XCO"/>
    <x v="5"/>
    <x v="5"/>
    <n v="5"/>
    <x v="20"/>
    <x v="13"/>
    <n v="7"/>
    <n v="11"/>
    <n v="7"/>
    <n v="4"/>
    <n v="11"/>
  </r>
  <r>
    <s v="XCO"/>
    <x v="5"/>
    <x v="5"/>
    <n v="6"/>
    <x v="72"/>
    <x v="18"/>
    <n v="8"/>
    <n v="10"/>
    <n v="8"/>
    <n v="3"/>
    <n v="10"/>
  </r>
  <r>
    <s v="XCO"/>
    <x v="6"/>
    <x v="0"/>
    <n v="1"/>
    <x v="22"/>
    <x v="14"/>
    <n v="3"/>
    <n v="20"/>
    <n v="3"/>
    <n v="10"/>
    <n v="20"/>
  </r>
  <r>
    <s v="XCO"/>
    <x v="6"/>
    <x v="1"/>
    <n v="1"/>
    <x v="42"/>
    <x v="1"/>
    <n v="3"/>
    <n v="20"/>
    <n v="3"/>
    <n v="10"/>
    <n v="20"/>
  </r>
  <r>
    <s v="XCO"/>
    <x v="6"/>
    <x v="2"/>
    <n v="1"/>
    <x v="6"/>
    <x v="4"/>
    <n v="3"/>
    <n v="20"/>
    <n v="3"/>
    <n v="10"/>
    <n v="20"/>
  </r>
  <r>
    <s v="XCO"/>
    <x v="6"/>
    <x v="2"/>
    <n v="2"/>
    <x v="73"/>
    <x v="9"/>
    <n v="4"/>
    <n v="17"/>
    <n v="4"/>
    <n v="8"/>
    <n v="17"/>
  </r>
  <r>
    <s v="XCO"/>
    <x v="6"/>
    <x v="2"/>
    <n v="3"/>
    <x v="50"/>
    <x v="1"/>
    <n v="5"/>
    <n v="15"/>
    <n v="5"/>
    <n v="6"/>
    <n v="15"/>
  </r>
  <r>
    <s v="XCO"/>
    <x v="6"/>
    <x v="2"/>
    <n v="4"/>
    <x v="79"/>
    <x v="11"/>
    <n v="6"/>
    <n v="13"/>
    <n v="6"/>
    <n v="5"/>
    <n v="13"/>
  </r>
  <r>
    <s v="XCO"/>
    <x v="6"/>
    <x v="4"/>
    <n v="1"/>
    <x v="43"/>
    <x v="19"/>
    <n v="3"/>
    <n v="20"/>
    <n v="3"/>
    <n v="10"/>
    <n v="20"/>
  </r>
  <r>
    <s v="XCO"/>
    <x v="6"/>
    <x v="4"/>
    <n v="2"/>
    <x v="80"/>
    <x v="9"/>
    <n v="4"/>
    <n v="17"/>
    <n v="4"/>
    <n v="8"/>
    <n v="17"/>
  </r>
  <r>
    <s v="XCO"/>
    <x v="6"/>
    <x v="5"/>
    <n v="1"/>
    <x v="19"/>
    <x v="3"/>
    <n v="3"/>
    <n v="20"/>
    <n v="3"/>
    <n v="10"/>
    <n v="20"/>
  </r>
  <r>
    <s v="XCO"/>
    <x v="6"/>
    <x v="5"/>
    <n v="2"/>
    <x v="21"/>
    <x v="11"/>
    <n v="4"/>
    <n v="17"/>
    <n v="4"/>
    <n v="8"/>
    <n v="17"/>
  </r>
  <r>
    <s v="XCO"/>
    <x v="6"/>
    <x v="5"/>
    <n v="3"/>
    <x v="20"/>
    <x v="13"/>
    <n v="5"/>
    <n v="15"/>
    <n v="5"/>
    <n v="6"/>
    <n v="15"/>
  </r>
  <r>
    <s v="XCO"/>
    <x v="6"/>
    <x v="3"/>
    <n v="1"/>
    <x v="13"/>
    <x v="1"/>
    <n v="3"/>
    <n v="20"/>
    <n v="3"/>
    <n v="10"/>
    <n v="20"/>
  </r>
  <r>
    <s v="XCO"/>
    <x v="6"/>
    <x v="3"/>
    <n v="2"/>
    <x v="34"/>
    <x v="9"/>
    <n v="4"/>
    <n v="17"/>
    <n v="4"/>
    <n v="8"/>
    <n v="17"/>
  </r>
  <r>
    <s v="XCC"/>
    <x v="7"/>
    <x v="6"/>
    <n v="1"/>
    <x v="39"/>
    <x v="1"/>
    <n v="3"/>
    <n v="20"/>
    <n v="3"/>
    <n v="10"/>
    <n v="10"/>
  </r>
  <r>
    <s v="XCC"/>
    <x v="7"/>
    <x v="3"/>
    <n v="1"/>
    <x v="13"/>
    <x v="1"/>
    <n v="3"/>
    <n v="20"/>
    <n v="3"/>
    <n v="10"/>
    <n v="10"/>
  </r>
  <r>
    <s v="XCC"/>
    <x v="7"/>
    <x v="3"/>
    <n v="2"/>
    <x v="14"/>
    <x v="10"/>
    <n v="4"/>
    <n v="17"/>
    <n v="4"/>
    <n v="8"/>
    <n v="8"/>
  </r>
  <r>
    <s v="XCC"/>
    <x v="7"/>
    <x v="0"/>
    <n v="1"/>
    <x v="55"/>
    <x v="10"/>
    <n v="3"/>
    <n v="20"/>
    <n v="3"/>
    <n v="10"/>
    <n v="10"/>
  </r>
  <r>
    <s v="XCC"/>
    <x v="7"/>
    <x v="0"/>
    <n v="2"/>
    <x v="35"/>
    <x v="22"/>
    <n v="4"/>
    <n v="17"/>
    <n v="4"/>
    <n v="8"/>
    <n v="8"/>
  </r>
  <r>
    <s v="XCC"/>
    <x v="7"/>
    <x v="0"/>
    <n v="3"/>
    <x v="3"/>
    <x v="2"/>
    <n v="5"/>
    <n v="15"/>
    <n v="5"/>
    <n v="6"/>
    <n v="6"/>
  </r>
  <r>
    <s v="XCC"/>
    <x v="7"/>
    <x v="2"/>
    <n v="1"/>
    <x v="28"/>
    <x v="17"/>
    <n v="3"/>
    <n v="20"/>
    <n v="3"/>
    <n v="10"/>
    <n v="10"/>
  </r>
  <r>
    <s v="XCC"/>
    <x v="7"/>
    <x v="2"/>
    <n v="2"/>
    <x v="81"/>
    <x v="22"/>
    <n v="4"/>
    <n v="17"/>
    <n v="4"/>
    <n v="8"/>
    <n v="8"/>
  </r>
  <r>
    <s v="XCC"/>
    <x v="7"/>
    <x v="2"/>
    <n v="3"/>
    <x v="82"/>
    <x v="10"/>
    <n v="5"/>
    <n v="15"/>
    <n v="5"/>
    <n v="6"/>
    <n v="6"/>
  </r>
  <r>
    <s v="XCC"/>
    <x v="7"/>
    <x v="2"/>
    <n v="4"/>
    <x v="66"/>
    <x v="10"/>
    <n v="6"/>
    <n v="13"/>
    <n v="6"/>
    <n v="5"/>
    <n v="5"/>
  </r>
  <r>
    <s v="XCC"/>
    <x v="7"/>
    <x v="2"/>
    <n v="5"/>
    <x v="83"/>
    <x v="14"/>
    <n v="7"/>
    <n v="11"/>
    <n v="7"/>
    <n v="4"/>
    <n v="4"/>
  </r>
  <r>
    <s v="XCC"/>
    <x v="7"/>
    <x v="2"/>
    <n v="6"/>
    <x v="9"/>
    <x v="7"/>
    <n v="8"/>
    <n v="10"/>
    <n v="8"/>
    <n v="3"/>
    <n v="3"/>
  </r>
  <r>
    <s v="XCC"/>
    <x v="7"/>
    <x v="1"/>
    <n v="1"/>
    <x v="41"/>
    <x v="2"/>
    <n v="3"/>
    <n v="20"/>
    <n v="3"/>
    <n v="10"/>
    <n v="10"/>
  </r>
  <r>
    <s v="XCC"/>
    <x v="7"/>
    <x v="4"/>
    <n v="1"/>
    <x v="51"/>
    <x v="22"/>
    <n v="3"/>
    <n v="20"/>
    <n v="3"/>
    <n v="10"/>
    <n v="10"/>
  </r>
  <r>
    <s v="XCC"/>
    <x v="7"/>
    <x v="4"/>
    <n v="2"/>
    <x v="45"/>
    <x v="10"/>
    <n v="4"/>
    <n v="17"/>
    <n v="4"/>
    <n v="8"/>
    <n v="8"/>
  </r>
  <r>
    <s v="XCO"/>
    <x v="5"/>
    <x v="6"/>
    <n v="1"/>
    <x v="23"/>
    <x v="15"/>
    <n v="3"/>
    <n v="20"/>
    <n v="3"/>
    <n v="10"/>
    <n v="20"/>
  </r>
  <r>
    <s v="XCO"/>
    <x v="5"/>
    <x v="6"/>
    <n v="2"/>
    <x v="27"/>
    <x v="10"/>
    <n v="4"/>
    <n v="17"/>
    <n v="4"/>
    <n v="8"/>
    <n v="17"/>
  </r>
  <r>
    <s v="XCO"/>
    <x v="5"/>
    <x v="6"/>
    <n v="3"/>
    <x v="84"/>
    <x v="4"/>
    <n v="5"/>
    <n v="15"/>
    <n v="5"/>
    <n v="6"/>
    <n v="15"/>
  </r>
  <r>
    <s v="XCO"/>
    <x v="5"/>
    <x v="6"/>
    <n v="4"/>
    <x v="39"/>
    <x v="1"/>
    <n v="6"/>
    <n v="13"/>
    <n v="6"/>
    <n v="5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3D3FA9-17B8-4A8E-98E2-3B79A2508880}" name="Pivot-taulukko1" cacheId="1" applyNumberFormats="0" applyBorderFormats="0" applyFontFormats="0" applyPatternFormats="0" applyAlignmentFormats="0" applyWidthHeightFormats="1" dataCaption="Arvot" updatedVersion="8" minRefreshableVersion="3" useAutoFormatting="1" itemPrintTitles="1" createdVersion="7" indent="0" compact="0" compactData="0" multipleFieldFilters="0">
  <location ref="A3:K106" firstHeaderRow="1" firstDataRow="2" firstDataCol="2"/>
  <pivotFields count="11">
    <pivotField compact="0" outline="0" subtotalTop="0" showAll="0" defaultSubtotal="0"/>
    <pivotField axis="axisCol" compact="0" outline="0" showAll="0" nonAutoSortDefault="1" defaultSubtotal="0">
      <items count="93">
        <item m="1" x="73"/>
        <item m="1" x="51"/>
        <item m="1" x="41"/>
        <item m="1" x="59"/>
        <item m="1" x="23"/>
        <item m="1" x="62"/>
        <item m="1" x="39"/>
        <item m="1" x="90"/>
        <item m="1" x="92"/>
        <item m="1" x="70"/>
        <item m="1" x="61"/>
        <item m="1" x="9"/>
        <item m="1" x="57"/>
        <item m="1" x="49"/>
        <item m="1" x="27"/>
        <item m="1" x="28"/>
        <item m="1" x="68"/>
        <item m="1" x="75"/>
        <item m="1" x="60"/>
        <item m="1" x="82"/>
        <item m="1" x="10"/>
        <item m="1" x="86"/>
        <item m="1" x="53"/>
        <item m="1" x="52"/>
        <item m="1" x="72"/>
        <item m="1" x="85"/>
        <item m="1" x="56"/>
        <item m="1" x="81"/>
        <item m="1" x="77"/>
        <item m="1" x="12"/>
        <item m="1" x="76"/>
        <item m="1" x="8"/>
        <item x="0"/>
        <item m="1" x="80"/>
        <item m="1" x="33"/>
        <item m="1" x="26"/>
        <item m="1" x="25"/>
        <item m="1" x="87"/>
        <item m="1" x="32"/>
        <item m="1" x="13"/>
        <item m="1" x="66"/>
        <item m="1" x="78"/>
        <item m="1" x="91"/>
        <item m="1" x="74"/>
        <item m="1" x="29"/>
        <item m="1" x="64"/>
        <item m="1" x="18"/>
        <item m="1" x="48"/>
        <item m="1" x="54"/>
        <item m="1" x="37"/>
        <item m="1" x="36"/>
        <item m="1" x="88"/>
        <item m="1" x="83"/>
        <item m="1" x="45"/>
        <item m="1" x="50"/>
        <item m="1" x="34"/>
        <item m="1" x="55"/>
        <item m="1" x="22"/>
        <item m="1" x="63"/>
        <item m="1" x="43"/>
        <item m="1" x="67"/>
        <item m="1" x="21"/>
        <item m="1" x="16"/>
        <item m="1" x="14"/>
        <item m="1" x="20"/>
        <item m="1" x="58"/>
        <item m="1" x="89"/>
        <item m="1" x="79"/>
        <item m="1" x="44"/>
        <item m="1" x="24"/>
        <item m="1" x="47"/>
        <item m="1" x="17"/>
        <item m="1" x="38"/>
        <item m="1" x="15"/>
        <item m="1" x="42"/>
        <item m="1" x="84"/>
        <item m="1" x="71"/>
        <item m="1" x="69"/>
        <item m="1" x="35"/>
        <item m="1" x="40"/>
        <item m="1" x="30"/>
        <item m="1" x="46"/>
        <item m="1" x="31"/>
        <item m="1" x="65"/>
        <item m="1" x="19"/>
        <item m="1" x="11"/>
        <item x="1"/>
        <item x="2"/>
        <item x="3"/>
        <item x="4"/>
        <item x="5"/>
        <item x="6"/>
        <item x="7"/>
      </items>
    </pivotField>
    <pivotField axis="axisRow" compact="0" showAll="0" defaultSubtotal="0">
      <items count="47">
        <item m="1" x="26"/>
        <item m="1" x="10"/>
        <item m="1" x="38"/>
        <item m="1" x="40"/>
        <item m="1" x="31"/>
        <item m="1" x="34"/>
        <item m="1" x="23"/>
        <item m="1" x="24"/>
        <item m="1" x="16"/>
        <item m="1" x="18"/>
        <item m="1" x="9"/>
        <item x="2"/>
        <item x="0"/>
        <item x="3"/>
        <item x="6"/>
        <item x="4"/>
        <item x="1"/>
        <item x="5"/>
        <item m="1" x="11"/>
        <item m="1" x="33"/>
        <item m="1" x="27"/>
        <item m="1" x="20"/>
        <item m="1" x="14"/>
        <item m="1" x="43"/>
        <item m="1" x="28"/>
        <item m="1" x="25"/>
        <item m="1" x="17"/>
        <item m="1" x="19"/>
        <item m="1" x="45"/>
        <item m="1" x="46"/>
        <item m="1" x="39"/>
        <item m="1" x="42"/>
        <item m="1" x="32"/>
        <item m="1" x="35"/>
        <item m="1" x="12"/>
        <item m="1" x="44"/>
        <item m="1" x="41"/>
        <item m="1" x="36"/>
        <item m="1" x="29"/>
        <item m="1" x="21"/>
        <item m="1" x="37"/>
        <item m="1" x="30"/>
        <item m="1" x="22"/>
        <item m="1" x="15"/>
        <item m="1" x="13"/>
        <item x="7"/>
        <item x="8"/>
      </items>
    </pivotField>
    <pivotField compact="0" showAll="0" defaultSubtotal="0"/>
    <pivotField axis="axisRow" compact="0" showAll="0" sortType="descending" defaultSubtotal="0">
      <items count="610">
        <item m="1" x="165"/>
        <item m="1" x="182"/>
        <item m="1" x="150"/>
        <item m="1" x="228"/>
        <item m="1" x="227"/>
        <item m="1" x="195"/>
        <item m="1" x="492"/>
        <item m="1" x="512"/>
        <item m="1" x="552"/>
        <item m="1" x="90"/>
        <item m="1" x="306"/>
        <item m="1" x="337"/>
        <item m="1" x="296"/>
        <item m="1" x="290"/>
        <item m="1" x="371"/>
        <item m="1" x="549"/>
        <item m="1" x="519"/>
        <item m="1" x="216"/>
        <item m="1" x="137"/>
        <item m="1" x="277"/>
        <item m="1" x="510"/>
        <item m="1" x="241"/>
        <item m="1" x="151"/>
        <item m="1" x="288"/>
        <item m="1" x="392"/>
        <item m="1" x="544"/>
        <item m="1" x="269"/>
        <item m="1" x="87"/>
        <item m="1" x="349"/>
        <item m="1" x="506"/>
        <item x="48"/>
        <item m="1" x="256"/>
        <item m="1" x="609"/>
        <item m="1" x="231"/>
        <item m="1" x="419"/>
        <item m="1" x="236"/>
        <item m="1" x="400"/>
        <item m="1" x="559"/>
        <item m="1" x="201"/>
        <item m="1" x="300"/>
        <item m="1" x="177"/>
        <item m="1" x="245"/>
        <item m="1" x="190"/>
        <item m="1" x="433"/>
        <item m="1" x="93"/>
        <item m="1" x="579"/>
        <item m="1" x="248"/>
        <item m="1" x="263"/>
        <item m="1" x="265"/>
        <item m="1" x="368"/>
        <item m="1" x="191"/>
        <item m="1" x="590"/>
        <item m="1" x="456"/>
        <item m="1" x="388"/>
        <item m="1" x="161"/>
        <item m="1" x="605"/>
        <item m="1" x="232"/>
        <item m="1" x="127"/>
        <item m="1" x="328"/>
        <item m="1" x="183"/>
        <item m="1" x="286"/>
        <item m="1" x="499"/>
        <item m="1" x="449"/>
        <item m="1" x="578"/>
        <item m="1" x="143"/>
        <item x="29"/>
        <item m="1" x="198"/>
        <item m="1" x="587"/>
        <item m="1" x="472"/>
        <item m="1" x="164"/>
        <item m="1" x="136"/>
        <item x="13"/>
        <item x="32"/>
        <item m="1" x="234"/>
        <item m="1" x="250"/>
        <item x="64"/>
        <item x="9"/>
        <item x="12"/>
        <item x="11"/>
        <item x="10"/>
        <item m="1" x="140"/>
        <item m="1" x="595"/>
        <item m="1" x="158"/>
        <item x="39"/>
        <item m="1" x="417"/>
        <item m="1" x="239"/>
        <item m="1" x="485"/>
        <item m="1" x="251"/>
        <item m="1" x="304"/>
        <item m="1" x="574"/>
        <item m="1" x="185"/>
        <item m="1" x="443"/>
        <item m="1" x="103"/>
        <item m="1" x="327"/>
        <item m="1" x="92"/>
        <item m="1" x="212"/>
        <item m="1" x="316"/>
        <item m="1" x="380"/>
        <item m="1" x="491"/>
        <item m="1" x="418"/>
        <item m="1" x="550"/>
        <item m="1" x="204"/>
        <item m="1" x="130"/>
        <item m="1" x="364"/>
        <item m="1" x="555"/>
        <item m="1" x="466"/>
        <item m="1" x="356"/>
        <item m="1" x="561"/>
        <item m="1" x="186"/>
        <item m="1" x="407"/>
        <item m="1" x="354"/>
        <item m="1" x="141"/>
        <item m="1" x="405"/>
        <item m="1" x="347"/>
        <item m="1" x="240"/>
        <item m="1" x="180"/>
        <item m="1" x="424"/>
        <item m="1" x="307"/>
        <item m="1" x="91"/>
        <item m="1" x="583"/>
        <item m="1" x="575"/>
        <item m="1" x="176"/>
        <item m="1" x="311"/>
        <item m="1" x="476"/>
        <item m="1" x="479"/>
        <item m="1" x="415"/>
        <item m="1" x="582"/>
        <item m="1" x="526"/>
        <item m="1" x="374"/>
        <item m="1" x="255"/>
        <item m="1" x="305"/>
        <item m="1" x="486"/>
        <item m="1" x="497"/>
        <item m="1" x="355"/>
        <item m="1" x="494"/>
        <item m="1" x="280"/>
        <item m="1" x="293"/>
        <item m="1" x="528"/>
        <item m="1" x="358"/>
        <item m="1" x="205"/>
        <item m="1" x="546"/>
        <item m="1" x="397"/>
        <item m="1" x="548"/>
        <item m="1" x="99"/>
        <item m="1" x="383"/>
        <item m="1" x="249"/>
        <item m="1" x="536"/>
        <item m="1" x="162"/>
        <item m="1" x="483"/>
        <item m="1" x="409"/>
        <item m="1" x="154"/>
        <item m="1" x="123"/>
        <item m="1" x="175"/>
        <item m="1" x="313"/>
        <item m="1" x="199"/>
        <item m="1" x="488"/>
        <item m="1" x="527"/>
        <item m="1" x="330"/>
        <item m="1" x="413"/>
        <item m="1" x="167"/>
        <item m="1" x="323"/>
        <item m="1" x="576"/>
        <item m="1" x="386"/>
        <item m="1" x="105"/>
        <item m="1" x="109"/>
        <item m="1" x="163"/>
        <item m="1" x="144"/>
        <item m="1" x="289"/>
        <item m="1" x="602"/>
        <item m="1" x="110"/>
        <item m="1" x="294"/>
        <item m="1" x="473"/>
        <item m="1" x="214"/>
        <item m="1" x="507"/>
        <item m="1" x="322"/>
        <item m="1" x="545"/>
        <item m="1" x="181"/>
        <item m="1" x="200"/>
        <item m="1" x="275"/>
        <item m="1" x="493"/>
        <item m="1" x="517"/>
        <item x="23"/>
        <item m="1" x="447"/>
        <item m="1" x="471"/>
        <item m="1" x="272"/>
        <item m="1" x="357"/>
        <item m="1" x="121"/>
        <item m="1" x="558"/>
        <item m="1" x="604"/>
        <item m="1" x="95"/>
        <item m="1" x="420"/>
        <item m="1" x="442"/>
        <item m="1" x="504"/>
        <item m="1" x="317"/>
        <item m="1" x="532"/>
        <item m="1" x="287"/>
        <item m="1" x="434"/>
        <item m="1" x="396"/>
        <item m="1" x="122"/>
        <item m="1" x="325"/>
        <item m="1" x="215"/>
        <item m="1" x="128"/>
        <item m="1" x="441"/>
        <item m="1" x="224"/>
        <item m="1" x="573"/>
        <item m="1" x="557"/>
        <item m="1" x="503"/>
        <item m="1" x="138"/>
        <item m="1" x="560"/>
        <item m="1" x="353"/>
        <item m="1" x="406"/>
        <item m="1" x="367"/>
        <item m="1" x="229"/>
        <item m="1" x="348"/>
        <item m="1" x="594"/>
        <item m="1" x="329"/>
        <item m="1" x="276"/>
        <item m="1" x="113"/>
        <item m="1" x="393"/>
        <item m="1" x="411"/>
        <item m="1" x="148"/>
        <item m="1" x="179"/>
        <item m="1" x="259"/>
        <item m="1" x="124"/>
        <item m="1" x="246"/>
        <item m="1" x="598"/>
        <item m="1" x="219"/>
        <item m="1" x="338"/>
        <item m="1" x="274"/>
        <item m="1" x="369"/>
        <item m="1" x="131"/>
        <item m="1" x="266"/>
        <item m="1" x="478"/>
        <item m="1" x="133"/>
        <item m="1" x="260"/>
        <item m="1" x="303"/>
        <item m="1" x="462"/>
        <item m="1" x="487"/>
        <item m="1" x="484"/>
        <item m="1" x="94"/>
        <item m="1" x="591"/>
        <item m="1" x="139"/>
        <item m="1" x="146"/>
        <item m="1" x="584"/>
        <item m="1" x="261"/>
        <item m="1" x="588"/>
        <item m="1" x="428"/>
        <item m="1" x="567"/>
        <item m="1" x="132"/>
        <item m="1" x="470"/>
        <item m="1" x="203"/>
        <item m="1" x="535"/>
        <item m="1" x="244"/>
        <item m="1" x="270"/>
        <item m="1" x="301"/>
        <item m="1" x="247"/>
        <item m="1" x="414"/>
        <item m="1" x="508"/>
        <item m="1" x="100"/>
        <item m="1" x="221"/>
        <item m="1" x="384"/>
        <item m="1" x="444"/>
        <item m="1" x="170"/>
        <item m="1" x="159"/>
        <item m="1" x="461"/>
        <item m="1" x="264"/>
        <item m="1" x="96"/>
        <item m="1" x="445"/>
        <item m="1" x="346"/>
        <item m="1" x="586"/>
        <item m="1" x="233"/>
        <item m="1" x="108"/>
        <item m="1" x="525"/>
        <item m="1" x="283"/>
        <item m="1" x="399"/>
        <item m="1" x="431"/>
        <item m="1" x="538"/>
        <item m="1" x="509"/>
        <item m="1" x="202"/>
        <item m="1" x="319"/>
        <item m="1" x="534"/>
        <item m="1" x="114"/>
        <item m="1" x="166"/>
        <item m="1" x="450"/>
        <item m="1" x="225"/>
        <item m="1" x="453"/>
        <item m="1" x="553"/>
        <item m="1" x="463"/>
        <item m="1" x="596"/>
        <item m="1" x="426"/>
        <item m="1" x="104"/>
        <item m="1" x="168"/>
        <item m="1" x="345"/>
        <item m="1" x="515"/>
        <item m="1" x="223"/>
        <item m="1" x="226"/>
        <item m="1" x="282"/>
        <item m="1" x="430"/>
        <item x="14"/>
        <item x="3"/>
        <item m="1" x="281"/>
        <item m="1" x="278"/>
        <item m="1" x="196"/>
        <item m="1" x="490"/>
        <item m="1" x="324"/>
        <item m="1" x="314"/>
        <item m="1" x="501"/>
        <item m="1" x="351"/>
        <item m="1" x="376"/>
        <item m="1" x="187"/>
        <item m="1" x="395"/>
        <item m="1" x="125"/>
        <item m="1" x="173"/>
        <item m="1" x="362"/>
        <item m="1" x="511"/>
        <item m="1" x="98"/>
        <item m="1" x="505"/>
        <item x="65"/>
        <item m="1" x="542"/>
        <item m="1" x="421"/>
        <item m="1" x="403"/>
        <item m="1" x="572"/>
        <item m="1" x="243"/>
        <item m="1" x="502"/>
        <item m="1" x="565"/>
        <item m="1" x="458"/>
        <item m="1" x="571"/>
        <item m="1" x="597"/>
        <item m="1" x="237"/>
        <item m="1" x="547"/>
        <item m="1" x="178"/>
        <item m="1" x="238"/>
        <item m="1" x="489"/>
        <item m="1" x="422"/>
        <item m="1" x="577"/>
        <item m="1" x="308"/>
        <item m="1" x="416"/>
        <item m="1" x="292"/>
        <item m="1" x="385"/>
        <item m="1" x="217"/>
        <item m="1" x="320"/>
        <item m="1" x="268"/>
        <item m="1" x="197"/>
        <item m="1" x="537"/>
        <item m="1" x="222"/>
        <item m="1" x="454"/>
        <item m="1" x="279"/>
        <item m="1" x="599"/>
        <item m="1" x="235"/>
        <item m="1" x="474"/>
        <item m="1" x="514"/>
        <item m="1" x="398"/>
        <item m="1" x="344"/>
        <item m="1" x="118"/>
        <item m="1" x="455"/>
        <item m="1" x="156"/>
        <item m="1" x="273"/>
        <item m="1" x="155"/>
        <item m="1" x="568"/>
        <item m="1" x="467"/>
        <item m="1" x="564"/>
        <item x="27"/>
        <item m="1" x="208"/>
        <item m="1" x="408"/>
        <item m="1" x="437"/>
        <item m="1" x="321"/>
        <item m="1" x="218"/>
        <item m="1" x="460"/>
        <item m="1" x="174"/>
        <item m="1" x="524"/>
        <item m="1" x="285"/>
        <item m="1" x="382"/>
        <item m="1" x="451"/>
        <item m="1" x="134"/>
        <item m="1" x="516"/>
        <item m="1" x="89"/>
        <item m="1" x="498"/>
        <item m="1" x="464"/>
        <item m="1" x="147"/>
        <item m="1" x="363"/>
        <item m="1" x="603"/>
        <item m="1" x="481"/>
        <item m="1" x="106"/>
        <item m="1" x="194"/>
        <item m="1" x="211"/>
        <item m="1" x="500"/>
        <item m="1" x="101"/>
        <item m="1" x="267"/>
        <item m="1" x="529"/>
        <item m="1" x="563"/>
        <item m="1" x="495"/>
        <item m="1" x="425"/>
        <item m="1" x="496"/>
        <item m="1" x="448"/>
        <item m="1" x="312"/>
        <item m="1" x="520"/>
        <item m="1" x="120"/>
        <item m="1" x="593"/>
        <item m="1" x="335"/>
        <item m="1" x="452"/>
        <item m="1" x="331"/>
        <item m="1" x="295"/>
        <item m="1" x="533"/>
        <item m="1" x="129"/>
        <item m="1" x="350"/>
        <item m="1" x="336"/>
        <item m="1" x="440"/>
        <item m="1" x="391"/>
        <item m="1" x="459"/>
        <item m="1" x="551"/>
        <item m="1" x="291"/>
        <item m="1" x="284"/>
        <item m="1" x="370"/>
        <item m="1" x="169"/>
        <item m="1" x="607"/>
        <item m="1" x="257"/>
        <item m="1" x="480"/>
        <item m="1" x="333"/>
        <item m="1" x="352"/>
        <item m="1" x="375"/>
        <item m="1" x="381"/>
        <item m="1" x="326"/>
        <item m="1" x="580"/>
        <item m="1" x="513"/>
        <item m="1" x="373"/>
        <item m="1" x="389"/>
        <item m="1" x="530"/>
        <item m="1" x="606"/>
        <item m="1" x="439"/>
        <item m="1" x="152"/>
        <item m="1" x="468"/>
        <item m="1" x="207"/>
        <item m="1" x="589"/>
        <item m="1" x="309"/>
        <item m="1" x="220"/>
        <item m="1" x="469"/>
        <item m="1" x="149"/>
        <item m="1" x="438"/>
        <item m="1" x="432"/>
        <item m="1" x="531"/>
        <item m="1" x="339"/>
        <item m="1" x="477"/>
        <item m="1" x="569"/>
        <item m="1" x="541"/>
        <item m="1" x="394"/>
        <item m="1" x="361"/>
        <item m="1" x="410"/>
        <item m="1" x="570"/>
        <item m="1" x="359"/>
        <item m="1" x="126"/>
        <item m="1" x="193"/>
        <item m="1" x="436"/>
        <item m="1" x="302"/>
        <item m="1" x="206"/>
        <item m="1" x="111"/>
        <item m="1" x="435"/>
        <item m="1" x="465"/>
        <item m="1" x="600"/>
        <item m="1" x="102"/>
        <item m="1" x="157"/>
        <item m="1" x="366"/>
        <item m="1" x="88"/>
        <item m="1" x="360"/>
        <item m="1" x="297"/>
        <item m="1" x="153"/>
        <item m="1" x="482"/>
        <item m="1" x="315"/>
        <item m="1" x="457"/>
        <item m="1" x="387"/>
        <item m="1" x="271"/>
        <item m="1" x="341"/>
        <item m="1" x="116"/>
        <item m="1" x="145"/>
        <item m="1" x="402"/>
        <item m="1" x="390"/>
        <item x="38"/>
        <item m="1" x="343"/>
        <item x="59"/>
        <item m="1" x="188"/>
        <item m="1" x="562"/>
        <item m="1" x="372"/>
        <item m="1" x="252"/>
        <item m="1" x="475"/>
        <item m="1" x="262"/>
        <item m="1" x="539"/>
        <item m="1" x="518"/>
        <item m="1" x="412"/>
        <item m="1" x="254"/>
        <item m="1" x="230"/>
        <item m="1" x="332"/>
        <item m="1" x="585"/>
        <item m="1" x="340"/>
        <item m="1" x="543"/>
        <item m="1" x="213"/>
        <item m="1" x="209"/>
        <item m="1" x="242"/>
        <item m="1" x="318"/>
        <item m="1" x="299"/>
        <item m="1" x="142"/>
        <item m="1" x="258"/>
        <item m="1" x="379"/>
        <item m="1" x="601"/>
        <item m="1" x="298"/>
        <item m="1" x="115"/>
        <item m="1" x="253"/>
        <item m="1" x="112"/>
        <item m="1" x="365"/>
        <item m="1" x="556"/>
        <item m="1" x="522"/>
        <item m="1" x="523"/>
        <item m="1" x="554"/>
        <item m="1" x="210"/>
        <item m="1" x="592"/>
        <item m="1" x="160"/>
        <item m="1" x="192"/>
        <item m="1" x="310"/>
        <item m="1" x="521"/>
        <item x="41"/>
        <item x="4"/>
        <item x="25"/>
        <item x="42"/>
        <item x="26"/>
        <item m="1" x="172"/>
        <item x="35"/>
        <item m="1" x="189"/>
        <item m="1" x="97"/>
        <item x="1"/>
        <item x="24"/>
        <item m="1" x="423"/>
        <item x="81"/>
        <item m="1" x="608"/>
        <item x="73"/>
        <item x="5"/>
        <item x="7"/>
        <item m="1" x="566"/>
        <item m="1" x="377"/>
        <item x="67"/>
        <item x="43"/>
        <item x="30"/>
        <item x="61"/>
        <item m="1" x="401"/>
        <item x="77"/>
        <item m="1" x="117"/>
        <item x="44"/>
        <item x="45"/>
        <item m="1" x="334"/>
        <item x="52"/>
        <item x="19"/>
        <item x="71"/>
        <item m="1" x="378"/>
        <item m="1" x="342"/>
        <item x="22"/>
        <item m="1" x="581"/>
        <item m="1" x="107"/>
        <item x="60"/>
        <item m="1" x="184"/>
        <item m="1" x="171"/>
        <item m="1" x="427"/>
        <item x="70"/>
        <item m="1" x="540"/>
        <item x="21"/>
        <item m="1" x="429"/>
        <item x="78"/>
        <item m="1" x="404"/>
        <item m="1" x="446"/>
        <item m="1" x="135"/>
        <item x="16"/>
        <item m="1" x="119"/>
        <item x="0"/>
        <item x="2"/>
        <item x="6"/>
        <item x="8"/>
        <item x="15"/>
        <item x="17"/>
        <item x="18"/>
        <item x="20"/>
        <item x="28"/>
        <item x="31"/>
        <item x="33"/>
        <item m="1" x="86"/>
        <item m="1" x="85"/>
        <item x="36"/>
        <item x="37"/>
        <item x="40"/>
        <item x="46"/>
        <item x="47"/>
        <item x="49"/>
        <item x="50"/>
        <item x="51"/>
        <item x="34"/>
        <item x="53"/>
        <item x="54"/>
        <item x="55"/>
        <item x="56"/>
        <item x="57"/>
        <item x="58"/>
        <item x="62"/>
        <item x="63"/>
        <item x="74"/>
        <item x="75"/>
        <item x="76"/>
        <item x="68"/>
        <item x="66"/>
        <item x="69"/>
        <item x="72"/>
        <item x="79"/>
        <item x="80"/>
        <item x="82"/>
        <item x="83"/>
        <item x="8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dataField="1" compact="0" showAll="0" defaultSubtotal="0"/>
  </pivotFields>
  <rowFields count="2">
    <field x="2"/>
    <field x="4"/>
  </rowFields>
  <rowItems count="102">
    <i>
      <x v="11"/>
    </i>
    <i r="1">
      <x v="570"/>
    </i>
    <i r="1">
      <x v="532"/>
    </i>
    <i r="1">
      <x v="531"/>
    </i>
    <i r="1">
      <x v="576"/>
    </i>
    <i r="1">
      <x v="554"/>
    </i>
    <i r="1">
      <x v="582"/>
    </i>
    <i r="1">
      <x v="30"/>
    </i>
    <i r="1">
      <x v="586"/>
    </i>
    <i r="1">
      <x v="587"/>
    </i>
    <i r="1">
      <x v="533"/>
    </i>
    <i r="1">
      <x v="65"/>
    </i>
    <i r="1">
      <x v="605"/>
    </i>
    <i r="1">
      <x v="571"/>
    </i>
    <i r="1">
      <x v="538"/>
    </i>
    <i r="1">
      <x v="529"/>
    </i>
    <i r="1">
      <x v="581"/>
    </i>
    <i r="1">
      <x v="607"/>
    </i>
    <i r="1">
      <x v="539"/>
    </i>
    <i r="1">
      <x v="602"/>
    </i>
    <i r="1">
      <x v="608"/>
    </i>
    <i r="1">
      <x v="596"/>
    </i>
    <i r="1">
      <x v="597"/>
    </i>
    <i r="1">
      <x v="76"/>
    </i>
    <i>
      <x v="12"/>
    </i>
    <i r="1">
      <x v="551"/>
    </i>
    <i r="1">
      <x v="526"/>
    </i>
    <i r="1">
      <x v="523"/>
    </i>
    <i r="1">
      <x v="592"/>
    </i>
    <i r="1">
      <x v="569"/>
    </i>
    <i r="1">
      <x v="568"/>
    </i>
    <i r="1">
      <x v="299"/>
    </i>
    <i r="1">
      <x v="181"/>
    </i>
    <i r="1">
      <x v="527"/>
    </i>
    <i r="1">
      <x v="593"/>
    </i>
    <i r="1">
      <x v="594"/>
    </i>
    <i r="1">
      <x v="595"/>
    </i>
    <i>
      <x v="13"/>
    </i>
    <i r="1">
      <x v="76"/>
    </i>
    <i r="1">
      <x v="79"/>
    </i>
    <i r="1">
      <x v="72"/>
    </i>
    <i r="1">
      <x v="77"/>
    </i>
    <i r="1">
      <x v="71"/>
    </i>
    <i r="1">
      <x v="589"/>
    </i>
    <i r="1">
      <x v="298"/>
    </i>
    <i r="1">
      <x v="78"/>
    </i>
    <i r="1">
      <x v="30"/>
    </i>
    <i r="1">
      <x v="578"/>
    </i>
    <i r="1">
      <x v="75"/>
    </i>
    <i r="1">
      <x v="572"/>
    </i>
    <i r="1">
      <x v="317"/>
    </i>
    <i>
      <x v="14"/>
    </i>
    <i r="1">
      <x v="361"/>
    </i>
    <i r="1">
      <x v="181"/>
    </i>
    <i r="1">
      <x v="83"/>
    </i>
    <i r="1">
      <x v="475"/>
    </i>
    <i r="1">
      <x v="299"/>
    </i>
    <i r="1">
      <x v="609"/>
    </i>
    <i r="1">
      <x v="477"/>
    </i>
    <i>
      <x v="15"/>
    </i>
    <i r="1">
      <x v="537"/>
    </i>
    <i r="1">
      <x v="573"/>
    </i>
    <i r="1">
      <x v="588"/>
    </i>
    <i r="1">
      <x v="601"/>
    </i>
    <i r="1">
      <x v="602"/>
    </i>
    <i r="1">
      <x v="536"/>
    </i>
    <i r="1">
      <x v="566"/>
    </i>
    <i r="1">
      <x v="577"/>
    </i>
    <i r="1">
      <x v="587"/>
    </i>
    <i r="1">
      <x v="606"/>
    </i>
    <i r="1">
      <x v="544"/>
    </i>
    <i r="1">
      <x v="541"/>
    </i>
    <i r="1">
      <x v="543"/>
    </i>
    <i r="1">
      <x v="603"/>
    </i>
    <i r="1">
      <x v="584"/>
    </i>
    <i r="1">
      <x v="538"/>
    </i>
    <i r="1">
      <x v="585"/>
    </i>
    <i>
      <x v="16"/>
    </i>
    <i r="1">
      <x v="518"/>
    </i>
    <i r="1">
      <x v="519"/>
    </i>
    <i r="1">
      <x v="521"/>
    </i>
    <i r="1">
      <x v="520"/>
    </i>
    <i r="1">
      <x v="517"/>
    </i>
    <i r="1">
      <x v="583"/>
    </i>
    <i r="1">
      <x v="600"/>
    </i>
    <i r="1">
      <x v="590"/>
    </i>
    <i>
      <x v="17"/>
    </i>
    <i r="1">
      <x v="547"/>
    </i>
    <i r="1">
      <x v="546"/>
    </i>
    <i r="1">
      <x v="560"/>
    </i>
    <i r="1">
      <x v="575"/>
    </i>
    <i r="1">
      <x v="574"/>
    </i>
    <i r="1">
      <x v="562"/>
    </i>
    <i r="1">
      <x v="604"/>
    </i>
    <i r="1">
      <x v="558"/>
    </i>
    <i r="1">
      <x v="548"/>
    </i>
    <i>
      <x v="45"/>
    </i>
    <i r="1">
      <x v="598"/>
    </i>
    <i r="1">
      <x v="591"/>
    </i>
    <i>
      <x v="46"/>
    </i>
    <i r="1">
      <x v="599"/>
    </i>
    <i t="grand">
      <x/>
    </i>
  </rowItems>
  <colFields count="1">
    <field x="1"/>
  </colFields>
  <colItems count="9">
    <i>
      <x v="32"/>
    </i>
    <i>
      <x v="86"/>
    </i>
    <i>
      <x v="87"/>
    </i>
    <i>
      <x v="88"/>
    </i>
    <i>
      <x v="89"/>
    </i>
    <i>
      <x v="90"/>
    </i>
    <i>
      <x v="91"/>
    </i>
    <i>
      <x v="92"/>
    </i>
    <i t="grand">
      <x/>
    </i>
  </colItems>
  <dataFields count="1">
    <dataField name="Summa  / Pisteet" fld="10" baseField="0" baseItem="0"/>
  </dataFields>
  <formats count="1">
    <format dxfId="7">
      <pivotArea grandCol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27EA79-6648-40C2-B470-924766933608}" name="Pivot-taulukko1" cacheId="1" applyNumberFormats="0" applyBorderFormats="0" applyFontFormats="0" applyPatternFormats="0" applyAlignmentFormats="0" applyWidthHeightFormats="1" dataCaption="Arvot" updatedVersion="8" minRefreshableVersion="3" useAutoFormatting="1" itemPrintTitles="1" createdVersion="8" indent="0" outline="1" outlineData="1" multipleFieldFilters="0">
  <location ref="A3:B39" firstHeaderRow="1" firstDataRow="1" firstDataCol="1"/>
  <pivotFields count="11">
    <pivotField showAll="0"/>
    <pivotField showAll="0"/>
    <pivotField showAll="0"/>
    <pivotField showAll="0"/>
    <pivotField showAll="0"/>
    <pivotField axis="axisRow" showAll="0" sortType="descending">
      <items count="36">
        <item x="25"/>
        <item x="11"/>
        <item x="8"/>
        <item x="10"/>
        <item x="6"/>
        <item x="1"/>
        <item x="3"/>
        <item x="9"/>
        <item x="2"/>
        <item x="0"/>
        <item x="5"/>
        <item x="7"/>
        <item x="12"/>
        <item x="13"/>
        <item x="14"/>
        <item x="15"/>
        <item x="16"/>
        <item x="18"/>
        <item x="19"/>
        <item x="20"/>
        <item x="4"/>
        <item x="17"/>
        <item x="21"/>
        <item x="22"/>
        <item x="23"/>
        <item x="24"/>
        <item x="26"/>
        <item x="27"/>
        <item x="28"/>
        <item x="29"/>
        <item x="32"/>
        <item x="33"/>
        <item x="30"/>
        <item x="34"/>
        <item x="3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5"/>
  </rowFields>
  <rowItems count="36">
    <i>
      <x v="6"/>
    </i>
    <i>
      <x v="5"/>
    </i>
    <i>
      <x v="3"/>
    </i>
    <i>
      <x v="7"/>
    </i>
    <i>
      <x v="2"/>
    </i>
    <i>
      <x v="14"/>
    </i>
    <i>
      <x v="15"/>
    </i>
    <i>
      <x v="1"/>
    </i>
    <i>
      <x v="19"/>
    </i>
    <i>
      <x v="20"/>
    </i>
    <i>
      <x v="23"/>
    </i>
    <i>
      <x v="18"/>
    </i>
    <i>
      <x v="11"/>
    </i>
    <i>
      <x v="8"/>
    </i>
    <i>
      <x v="12"/>
    </i>
    <i>
      <x v="13"/>
    </i>
    <i>
      <x v="9"/>
    </i>
    <i>
      <x v="26"/>
    </i>
    <i>
      <x v="16"/>
    </i>
    <i>
      <x/>
    </i>
    <i>
      <x v="21"/>
    </i>
    <i>
      <x v="17"/>
    </i>
    <i>
      <x v="25"/>
    </i>
    <i>
      <x v="32"/>
    </i>
    <i>
      <x v="27"/>
    </i>
    <i>
      <x v="4"/>
    </i>
    <i>
      <x v="31"/>
    </i>
    <i>
      <x v="30"/>
    </i>
    <i>
      <x v="10"/>
    </i>
    <i>
      <x v="22"/>
    </i>
    <i>
      <x v="29"/>
    </i>
    <i>
      <x v="33"/>
    </i>
    <i>
      <x v="24"/>
    </i>
    <i>
      <x v="28"/>
    </i>
    <i>
      <x v="34"/>
    </i>
    <i t="grand">
      <x/>
    </i>
  </rowItems>
  <colItems count="1">
    <i/>
  </colItems>
  <dataFields count="1">
    <dataField name="Summa  / Pisteet" fld="10" baseField="0" baseItem="0"/>
  </dataFields>
  <formats count="1">
    <format dxfId="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DA35A9-46D8-4D0D-B240-11A65A7189E1}" name="Pivot-taulukko1" cacheId="1" applyNumberFormats="0" applyBorderFormats="0" applyFontFormats="0" applyPatternFormats="0" applyAlignmentFormats="0" applyWidthHeightFormats="1" dataCaption="Arvot" updatedVersion="8" minRefreshableVersion="3" useAutoFormatting="1" itemPrintTitles="1" createdVersion="8" indent="0" compact="0" compactData="0" multipleFieldFilters="0">
  <location ref="A1:B103" firstHeaderRow="1" firstDataRow="1" firstDataCol="2"/>
  <pivotFields count="11">
    <pivotField compact="0" outline="0" showAll="0"/>
    <pivotField compact="0" outline="0" showAll="0"/>
    <pivotField axis="axisRow" compact="0" outline="0" showAll="0">
      <items count="48">
        <item m="1" x="38"/>
        <item m="1" x="31"/>
        <item m="1" x="23"/>
        <item m="1" x="16"/>
        <item m="1" x="17"/>
        <item m="1" x="45"/>
        <item m="1" x="39"/>
        <item m="1" x="32"/>
        <item m="1" x="13"/>
        <item m="1" x="18"/>
        <item m="1" x="40"/>
        <item m="1" x="19"/>
        <item m="1" x="34"/>
        <item m="1" x="46"/>
        <item m="1" x="24"/>
        <item m="1" x="42"/>
        <item m="1" x="35"/>
        <item m="1" x="25"/>
        <item m="1" x="26"/>
        <item m="1" x="27"/>
        <item m="1" x="20"/>
        <item m="1" x="44"/>
        <item m="1" x="36"/>
        <item m="1" x="14"/>
        <item m="1" x="29"/>
        <item m="1" x="21"/>
        <item m="1" x="43"/>
        <item m="1" x="37"/>
        <item m="1" x="30"/>
        <item m="1" x="22"/>
        <item m="1" x="15"/>
        <item m="1" x="33"/>
        <item m="1" x="28"/>
        <item m="1" x="41"/>
        <item x="1"/>
        <item x="6"/>
        <item x="0"/>
        <item x="2"/>
        <item x="3"/>
        <item x="4"/>
        <item x="5"/>
        <item m="1" x="9"/>
        <item m="1" x="10"/>
        <item m="1" x="11"/>
        <item m="1" x="12"/>
        <item x="7"/>
        <item x="8"/>
        <item t="default"/>
      </items>
    </pivotField>
    <pivotField compact="0" outline="0" showAll="0"/>
    <pivotField axis="axisRow" compact="0" outline="0" showAll="0">
      <items count="611">
        <item m="1" x="224"/>
        <item m="1" x="557"/>
        <item m="1" x="185"/>
        <item m="1" x="303"/>
        <item m="1" x="560"/>
        <item m="1" x="473"/>
        <item m="1" x="165"/>
        <item m="1" x="215"/>
        <item m="1" x="162"/>
        <item m="1" x="485"/>
        <item m="1" x="609"/>
        <item m="1" x="590"/>
        <item m="1" x="433"/>
        <item m="1" x="396"/>
        <item m="1" x="182"/>
        <item m="1" x="150"/>
        <item m="1" x="128"/>
        <item m="1" x="122"/>
        <item m="1" x="367"/>
        <item m="1" x="594"/>
        <item m="1" x="274"/>
        <item m="1" x="133"/>
        <item m="1" x="259"/>
        <item m="1" x="494"/>
        <item m="1" x="179"/>
        <item m="1" x="406"/>
        <item m="1" x="576"/>
        <item m="1" x="161"/>
        <item m="1" x="317"/>
        <item m="1" x="503"/>
        <item m="1" x="536"/>
        <item m="1" x="358"/>
        <item m="1" x="447"/>
        <item m="1" x="595"/>
        <item m="1" x="591"/>
        <item m="1" x="497"/>
        <item m="1" x="143"/>
        <item m="1" x="471"/>
        <item m="1" x="247"/>
        <item m="1" x="604"/>
        <item m="1" x="583"/>
        <item m="1" x="293"/>
        <item m="1" x="311"/>
        <item m="1" x="476"/>
        <item m="1" x="323"/>
        <item m="1" x="383"/>
        <item m="1" x="354"/>
        <item m="1" x="190"/>
        <item m="1" x="231"/>
        <item m="1" x="305"/>
        <item m="1" x="91"/>
        <item m="1" x="130"/>
        <item x="9"/>
        <item m="1" x="136"/>
        <item m="1" x="200"/>
        <item m="1" x="103"/>
        <item m="1" x="561"/>
        <item m="1" x="141"/>
        <item m="1" x="574"/>
        <item m="1" x="94"/>
        <item m="1" x="204"/>
        <item m="1" x="470"/>
        <item m="1" x="479"/>
        <item m="1" x="146"/>
        <item m="1" x="229"/>
        <item m="1" x="316"/>
        <item m="1" x="353"/>
        <item m="1" x="228"/>
        <item m="1" x="294"/>
        <item m="1" x="415"/>
        <item m="1" x="550"/>
        <item x="13"/>
        <item m="1" x="418"/>
        <item m="1" x="338"/>
        <item m="1" x="483"/>
        <item x="12"/>
        <item m="1" x="413"/>
        <item m="1" x="272"/>
        <item m="1" x="428"/>
        <item x="11"/>
        <item m="1" x="567"/>
        <item m="1" x="270"/>
        <item m="1" x="260"/>
        <item x="10"/>
        <item m="1" x="526"/>
        <item m="1" x="584"/>
        <item m="1" x="355"/>
        <item m="1" x="266"/>
        <item m="1" x="227"/>
        <item m="1" x="219"/>
        <item m="1" x="195"/>
        <item m="1" x="492"/>
        <item m="1" x="512"/>
        <item m="1" x="148"/>
        <item m="1" x="289"/>
        <item m="1" x="517"/>
        <item m="1" x="347"/>
        <item m="1" x="199"/>
        <item m="1" x="552"/>
        <item m="1" x="90"/>
        <item m="1" x="306"/>
        <item x="39"/>
        <item m="1" x="488"/>
        <item m="1" x="124"/>
        <item m="1" x="528"/>
        <item m="1" x="93"/>
        <item m="1" x="127"/>
        <item m="1" x="105"/>
        <item m="1" x="605"/>
        <item m="1" x="545"/>
        <item m="1" x="558"/>
        <item m="1" x="555"/>
        <item m="1" x="349"/>
        <item m="1" x="250"/>
        <item m="1" x="506"/>
        <item m="1" x="504"/>
        <item m="1" x="287"/>
        <item m="1" x="92"/>
        <item m="1" x="132"/>
        <item m="1" x="256"/>
        <item m="1" x="191"/>
        <item m="1" x="322"/>
        <item m="1" x="368"/>
        <item m="1" x="163"/>
        <item m="1" x="144"/>
        <item x="64"/>
        <item m="1" x="546"/>
        <item m="1" x="330"/>
        <item m="1" x="337"/>
        <item m="1" x="265"/>
        <item m="1" x="424"/>
        <item m="1" x="532"/>
        <item m="1" x="139"/>
        <item m="1" x="487"/>
        <item m="1" x="240"/>
        <item m="1" x="239"/>
        <item m="1" x="443"/>
        <item m="1" x="417"/>
        <item m="1" x="113"/>
        <item m="1" x="248"/>
        <item m="1" x="177"/>
        <item m="1" x="203"/>
        <item m="1" x="575"/>
        <item m="1" x="411"/>
        <item m="1" x="186"/>
        <item m="1" x="527"/>
        <item m="1" x="420"/>
        <item m="1" x="434"/>
        <item m="1" x="400"/>
        <item m="1" x="205"/>
        <item m="1" x="212"/>
        <item m="1" x="246"/>
        <item m="1" x="602"/>
        <item m="1" x="275"/>
        <item m="1" x="138"/>
        <item m="1" x="234"/>
        <item m="1" x="325"/>
        <item m="1" x="456"/>
        <item m="1" x="180"/>
        <item m="1" x="579"/>
        <item m="1" x="245"/>
        <item m="1" x="578"/>
        <item m="1" x="486"/>
        <item m="1" x="304"/>
        <item m="1" x="356"/>
        <item m="1" x="588"/>
        <item m="1" x="307"/>
        <item m="1" x="244"/>
        <item m="1" x="419"/>
        <item m="1" x="167"/>
        <item m="1" x="95"/>
        <item m="1" x="369"/>
        <item m="1" x="598"/>
        <item m="1" x="201"/>
        <item m="1" x="121"/>
        <item m="1" x="296"/>
        <item m="1" x="478"/>
        <item m="1" x="484"/>
        <item m="1" x="462"/>
        <item m="1" x="493"/>
        <item m="1" x="290"/>
        <item m="1" x="371"/>
        <item m="1" x="549"/>
        <item m="1" x="519"/>
        <item m="1" x="216"/>
        <item m="1" x="251"/>
        <item m="1" x="137"/>
        <item m="1" x="277"/>
        <item m="1" x="183"/>
        <item m="1" x="559"/>
        <item m="1" x="582"/>
        <item m="1" x="99"/>
        <item m="1" x="397"/>
        <item m="1" x="386"/>
        <item m="1" x="300"/>
        <item m="1" x="263"/>
        <item m="1" x="123"/>
        <item m="1" x="393"/>
        <item m="1" x="510"/>
        <item m="1" x="407"/>
        <item m="1" x="364"/>
        <item m="1" x="380"/>
        <item m="1" x="110"/>
        <item m="1" x="449"/>
        <item m="1" x="198"/>
        <item m="1" x="158"/>
        <item x="32"/>
        <item m="1" x="154"/>
        <item m="1" x="548"/>
        <item m="1" x="249"/>
        <item m="1" x="327"/>
        <item m="1" x="241"/>
        <item m="1" x="441"/>
        <item m="1" x="151"/>
        <item m="1" x="288"/>
        <item m="1" x="392"/>
        <item x="48"/>
        <item m="1" x="409"/>
        <item m="1" x="374"/>
        <item x="29"/>
        <item x="23"/>
        <item m="1" x="261"/>
        <item m="1" x="280"/>
        <item m="1" x="109"/>
        <item m="1" x="214"/>
        <item m="1" x="405"/>
        <item m="1" x="301"/>
        <item m="1" x="544"/>
        <item m="1" x="499"/>
        <item m="1" x="535"/>
        <item m="1" x="176"/>
        <item m="1" x="286"/>
        <item m="1" x="587"/>
        <item m="1" x="269"/>
        <item m="1" x="388"/>
        <item m="1" x="507"/>
        <item m="1" x="491"/>
        <item m="1" x="313"/>
        <item m="1" x="472"/>
        <item m="1" x="175"/>
        <item m="1" x="236"/>
        <item m="1" x="348"/>
        <item m="1" x="181"/>
        <item m="1" x="276"/>
        <item m="1" x="357"/>
        <item m="1" x="329"/>
        <item m="1" x="573"/>
        <item m="1" x="328"/>
        <item m="1" x="442"/>
        <item m="1" x="164"/>
        <item m="1" x="131"/>
        <item m="1" x="140"/>
        <item m="1" x="232"/>
        <item m="1" x="466"/>
        <item m="1" x="255"/>
        <item m="1" x="87"/>
        <item m="1" x="414"/>
        <item m="1" x="508"/>
        <item m="1" x="100"/>
        <item m="1" x="221"/>
        <item m="1" x="384"/>
        <item m="1" x="444"/>
        <item m="1" x="170"/>
        <item m="1" x="159"/>
        <item m="1" x="461"/>
        <item m="1" x="264"/>
        <item m="1" x="96"/>
        <item m="1" x="445"/>
        <item m="1" x="346"/>
        <item m="1" x="586"/>
        <item m="1" x="233"/>
        <item m="1" x="108"/>
        <item m="1" x="525"/>
        <item m="1" x="283"/>
        <item m="1" x="399"/>
        <item m="1" x="431"/>
        <item m="1" x="538"/>
        <item m="1" x="509"/>
        <item m="1" x="202"/>
        <item m="1" x="319"/>
        <item m="1" x="534"/>
        <item m="1" x="114"/>
        <item m="1" x="166"/>
        <item m="1" x="450"/>
        <item m="1" x="225"/>
        <item m="1" x="453"/>
        <item m="1" x="553"/>
        <item m="1" x="463"/>
        <item m="1" x="596"/>
        <item m="1" x="426"/>
        <item m="1" x="104"/>
        <item m="1" x="168"/>
        <item m="1" x="345"/>
        <item m="1" x="515"/>
        <item m="1" x="223"/>
        <item m="1" x="226"/>
        <item m="1" x="282"/>
        <item m="1" x="430"/>
        <item x="14"/>
        <item x="3"/>
        <item m="1" x="281"/>
        <item m="1" x="278"/>
        <item m="1" x="196"/>
        <item m="1" x="490"/>
        <item m="1" x="324"/>
        <item m="1" x="314"/>
        <item m="1" x="501"/>
        <item m="1" x="351"/>
        <item m="1" x="376"/>
        <item m="1" x="187"/>
        <item m="1" x="395"/>
        <item m="1" x="125"/>
        <item m="1" x="173"/>
        <item m="1" x="362"/>
        <item m="1" x="511"/>
        <item m="1" x="98"/>
        <item m="1" x="505"/>
        <item x="65"/>
        <item m="1" x="542"/>
        <item m="1" x="421"/>
        <item m="1" x="403"/>
        <item m="1" x="572"/>
        <item m="1" x="243"/>
        <item m="1" x="502"/>
        <item m="1" x="565"/>
        <item m="1" x="458"/>
        <item m="1" x="571"/>
        <item m="1" x="597"/>
        <item m="1" x="237"/>
        <item m="1" x="547"/>
        <item m="1" x="178"/>
        <item m="1" x="238"/>
        <item m="1" x="489"/>
        <item m="1" x="422"/>
        <item m="1" x="577"/>
        <item m="1" x="308"/>
        <item m="1" x="416"/>
        <item m="1" x="292"/>
        <item m="1" x="385"/>
        <item m="1" x="217"/>
        <item m="1" x="320"/>
        <item m="1" x="268"/>
        <item m="1" x="197"/>
        <item m="1" x="537"/>
        <item m="1" x="222"/>
        <item m="1" x="454"/>
        <item m="1" x="279"/>
        <item m="1" x="599"/>
        <item m="1" x="235"/>
        <item m="1" x="474"/>
        <item m="1" x="514"/>
        <item m="1" x="398"/>
        <item m="1" x="344"/>
        <item m="1" x="118"/>
        <item m="1" x="455"/>
        <item m="1" x="156"/>
        <item m="1" x="273"/>
        <item m="1" x="155"/>
        <item m="1" x="568"/>
        <item m="1" x="467"/>
        <item m="1" x="564"/>
        <item x="27"/>
        <item m="1" x="208"/>
        <item m="1" x="408"/>
        <item m="1" x="437"/>
        <item m="1" x="321"/>
        <item m="1" x="218"/>
        <item m="1" x="460"/>
        <item m="1" x="174"/>
        <item m="1" x="524"/>
        <item m="1" x="285"/>
        <item m="1" x="382"/>
        <item m="1" x="451"/>
        <item m="1" x="134"/>
        <item m="1" x="516"/>
        <item m="1" x="89"/>
        <item m="1" x="498"/>
        <item m="1" x="464"/>
        <item m="1" x="147"/>
        <item m="1" x="363"/>
        <item m="1" x="603"/>
        <item m="1" x="481"/>
        <item m="1" x="106"/>
        <item m="1" x="194"/>
        <item m="1" x="211"/>
        <item m="1" x="500"/>
        <item m="1" x="101"/>
        <item m="1" x="267"/>
        <item m="1" x="529"/>
        <item m="1" x="563"/>
        <item m="1" x="495"/>
        <item m="1" x="425"/>
        <item m="1" x="496"/>
        <item m="1" x="448"/>
        <item m="1" x="312"/>
        <item m="1" x="520"/>
        <item m="1" x="120"/>
        <item m="1" x="593"/>
        <item m="1" x="335"/>
        <item m="1" x="452"/>
        <item m="1" x="331"/>
        <item m="1" x="295"/>
        <item m="1" x="533"/>
        <item m="1" x="129"/>
        <item m="1" x="350"/>
        <item m="1" x="336"/>
        <item m="1" x="440"/>
        <item m="1" x="391"/>
        <item m="1" x="459"/>
        <item m="1" x="551"/>
        <item m="1" x="291"/>
        <item m="1" x="284"/>
        <item m="1" x="370"/>
        <item m="1" x="169"/>
        <item m="1" x="607"/>
        <item m="1" x="257"/>
        <item m="1" x="480"/>
        <item m="1" x="333"/>
        <item m="1" x="352"/>
        <item m="1" x="375"/>
        <item m="1" x="381"/>
        <item m="1" x="326"/>
        <item m="1" x="580"/>
        <item m="1" x="513"/>
        <item m="1" x="373"/>
        <item m="1" x="389"/>
        <item m="1" x="530"/>
        <item m="1" x="606"/>
        <item m="1" x="439"/>
        <item m="1" x="152"/>
        <item m="1" x="468"/>
        <item m="1" x="207"/>
        <item m="1" x="589"/>
        <item m="1" x="309"/>
        <item m="1" x="220"/>
        <item m="1" x="469"/>
        <item m="1" x="149"/>
        <item m="1" x="438"/>
        <item m="1" x="432"/>
        <item m="1" x="531"/>
        <item m="1" x="339"/>
        <item m="1" x="477"/>
        <item m="1" x="569"/>
        <item m="1" x="541"/>
        <item m="1" x="394"/>
        <item m="1" x="361"/>
        <item m="1" x="410"/>
        <item m="1" x="570"/>
        <item m="1" x="359"/>
        <item m="1" x="126"/>
        <item m="1" x="193"/>
        <item m="1" x="436"/>
        <item m="1" x="302"/>
        <item m="1" x="206"/>
        <item m="1" x="111"/>
        <item m="1" x="435"/>
        <item m="1" x="465"/>
        <item m="1" x="600"/>
        <item m="1" x="102"/>
        <item m="1" x="157"/>
        <item m="1" x="366"/>
        <item m="1" x="88"/>
        <item m="1" x="360"/>
        <item m="1" x="297"/>
        <item m="1" x="153"/>
        <item m="1" x="482"/>
        <item m="1" x="315"/>
        <item m="1" x="457"/>
        <item m="1" x="387"/>
        <item m="1" x="271"/>
        <item m="1" x="341"/>
        <item m="1" x="116"/>
        <item m="1" x="145"/>
        <item m="1" x="402"/>
        <item m="1" x="390"/>
        <item x="38"/>
        <item m="1" x="343"/>
        <item x="59"/>
        <item m="1" x="188"/>
        <item m="1" x="562"/>
        <item m="1" x="372"/>
        <item m="1" x="252"/>
        <item m="1" x="475"/>
        <item m="1" x="262"/>
        <item m="1" x="539"/>
        <item m="1" x="518"/>
        <item m="1" x="412"/>
        <item m="1" x="254"/>
        <item m="1" x="230"/>
        <item m="1" x="332"/>
        <item m="1" x="585"/>
        <item m="1" x="340"/>
        <item m="1" x="543"/>
        <item m="1" x="213"/>
        <item m="1" x="209"/>
        <item m="1" x="242"/>
        <item m="1" x="318"/>
        <item m="1" x="299"/>
        <item m="1" x="142"/>
        <item m="1" x="258"/>
        <item m="1" x="379"/>
        <item m="1" x="601"/>
        <item m="1" x="298"/>
        <item m="1" x="115"/>
        <item m="1" x="253"/>
        <item m="1" x="112"/>
        <item m="1" x="365"/>
        <item m="1" x="556"/>
        <item m="1" x="522"/>
        <item m="1" x="523"/>
        <item m="1" x="554"/>
        <item m="1" x="210"/>
        <item m="1" x="592"/>
        <item m="1" x="160"/>
        <item m="1" x="192"/>
        <item m="1" x="310"/>
        <item m="1" x="521"/>
        <item x="41"/>
        <item x="4"/>
        <item x="25"/>
        <item x="42"/>
        <item x="26"/>
        <item m="1" x="172"/>
        <item x="35"/>
        <item m="1" x="189"/>
        <item m="1" x="97"/>
        <item x="1"/>
        <item x="24"/>
        <item m="1" x="423"/>
        <item x="81"/>
        <item m="1" x="608"/>
        <item x="73"/>
        <item x="5"/>
        <item x="7"/>
        <item m="1" x="566"/>
        <item m="1" x="377"/>
        <item x="67"/>
        <item x="43"/>
        <item x="30"/>
        <item x="61"/>
        <item m="1" x="401"/>
        <item x="77"/>
        <item m="1" x="117"/>
        <item x="44"/>
        <item x="45"/>
        <item m="1" x="334"/>
        <item x="52"/>
        <item x="19"/>
        <item x="71"/>
        <item m="1" x="378"/>
        <item m="1" x="342"/>
        <item x="22"/>
        <item m="1" x="581"/>
        <item m="1" x="107"/>
        <item x="60"/>
        <item m="1" x="184"/>
        <item m="1" x="171"/>
        <item m="1" x="427"/>
        <item x="70"/>
        <item m="1" x="540"/>
        <item x="21"/>
        <item m="1" x="429"/>
        <item x="78"/>
        <item m="1" x="404"/>
        <item m="1" x="446"/>
        <item m="1" x="135"/>
        <item x="16"/>
        <item m="1" x="119"/>
        <item x="0"/>
        <item x="2"/>
        <item x="6"/>
        <item x="8"/>
        <item x="15"/>
        <item x="17"/>
        <item x="18"/>
        <item x="20"/>
        <item x="28"/>
        <item x="31"/>
        <item x="33"/>
        <item m="1" x="86"/>
        <item m="1" x="85"/>
        <item x="36"/>
        <item x="37"/>
        <item x="40"/>
        <item x="46"/>
        <item x="47"/>
        <item x="49"/>
        <item x="50"/>
        <item x="51"/>
        <item x="34"/>
        <item x="53"/>
        <item x="54"/>
        <item x="55"/>
        <item x="56"/>
        <item x="57"/>
        <item x="58"/>
        <item x="62"/>
        <item x="63"/>
        <item x="74"/>
        <item x="75"/>
        <item x="76"/>
        <item x="68"/>
        <item x="66"/>
        <item x="69"/>
        <item x="72"/>
        <item x="79"/>
        <item x="80"/>
        <item x="82"/>
        <item x="83"/>
        <item x="8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2"/>
    <field x="4"/>
  </rowFields>
  <rowItems count="102">
    <i>
      <x v="34"/>
      <x v="517"/>
    </i>
    <i r="1">
      <x v="518"/>
    </i>
    <i r="1">
      <x v="519"/>
    </i>
    <i r="1">
      <x v="520"/>
    </i>
    <i r="1">
      <x v="521"/>
    </i>
    <i r="1">
      <x v="583"/>
    </i>
    <i r="1">
      <x v="590"/>
    </i>
    <i r="1">
      <x v="600"/>
    </i>
    <i t="default">
      <x v="34"/>
    </i>
    <i>
      <x v="35"/>
      <x v="101"/>
    </i>
    <i r="1">
      <x v="220"/>
    </i>
    <i r="1">
      <x v="299"/>
    </i>
    <i r="1">
      <x v="361"/>
    </i>
    <i r="1">
      <x v="475"/>
    </i>
    <i r="1">
      <x v="477"/>
    </i>
    <i r="1">
      <x v="609"/>
    </i>
    <i t="default">
      <x v="35"/>
    </i>
    <i>
      <x v="36"/>
      <x v="220"/>
    </i>
    <i r="1">
      <x v="299"/>
    </i>
    <i r="1">
      <x v="523"/>
    </i>
    <i r="1">
      <x v="526"/>
    </i>
    <i r="1">
      <x v="527"/>
    </i>
    <i r="1">
      <x v="551"/>
    </i>
    <i r="1">
      <x v="568"/>
    </i>
    <i r="1">
      <x v="569"/>
    </i>
    <i r="1">
      <x v="592"/>
    </i>
    <i r="1">
      <x v="593"/>
    </i>
    <i r="1">
      <x v="594"/>
    </i>
    <i r="1">
      <x v="595"/>
    </i>
    <i t="default">
      <x v="36"/>
    </i>
    <i>
      <x v="37"/>
      <x v="52"/>
    </i>
    <i r="1">
      <x v="216"/>
    </i>
    <i r="1">
      <x v="219"/>
    </i>
    <i r="1">
      <x v="529"/>
    </i>
    <i r="1">
      <x v="531"/>
    </i>
    <i r="1">
      <x v="532"/>
    </i>
    <i r="1">
      <x v="533"/>
    </i>
    <i r="1">
      <x v="538"/>
    </i>
    <i r="1">
      <x v="539"/>
    </i>
    <i r="1">
      <x v="554"/>
    </i>
    <i r="1">
      <x v="570"/>
    </i>
    <i r="1">
      <x v="571"/>
    </i>
    <i r="1">
      <x v="576"/>
    </i>
    <i r="1">
      <x v="581"/>
    </i>
    <i r="1">
      <x v="582"/>
    </i>
    <i r="1">
      <x v="586"/>
    </i>
    <i r="1">
      <x v="587"/>
    </i>
    <i r="1">
      <x v="596"/>
    </i>
    <i r="1">
      <x v="597"/>
    </i>
    <i r="1">
      <x v="602"/>
    </i>
    <i r="1">
      <x v="605"/>
    </i>
    <i r="1">
      <x v="607"/>
    </i>
    <i r="1">
      <x v="608"/>
    </i>
    <i t="default">
      <x v="37"/>
    </i>
    <i>
      <x v="38"/>
      <x v="52"/>
    </i>
    <i r="1">
      <x v="71"/>
    </i>
    <i r="1">
      <x v="75"/>
    </i>
    <i r="1">
      <x v="79"/>
    </i>
    <i r="1">
      <x v="83"/>
    </i>
    <i r="1">
      <x v="125"/>
    </i>
    <i r="1">
      <x v="206"/>
    </i>
    <i r="1">
      <x v="216"/>
    </i>
    <i r="1">
      <x v="298"/>
    </i>
    <i r="1">
      <x v="317"/>
    </i>
    <i r="1">
      <x v="572"/>
    </i>
    <i r="1">
      <x v="578"/>
    </i>
    <i r="1">
      <x v="589"/>
    </i>
    <i t="default">
      <x v="38"/>
    </i>
    <i>
      <x v="39"/>
      <x v="536"/>
    </i>
    <i r="1">
      <x v="537"/>
    </i>
    <i r="1">
      <x v="538"/>
    </i>
    <i r="1">
      <x v="541"/>
    </i>
    <i r="1">
      <x v="543"/>
    </i>
    <i r="1">
      <x v="544"/>
    </i>
    <i r="1">
      <x v="566"/>
    </i>
    <i r="1">
      <x v="573"/>
    </i>
    <i r="1">
      <x v="577"/>
    </i>
    <i r="1">
      <x v="584"/>
    </i>
    <i r="1">
      <x v="585"/>
    </i>
    <i r="1">
      <x v="587"/>
    </i>
    <i r="1">
      <x v="588"/>
    </i>
    <i r="1">
      <x v="601"/>
    </i>
    <i r="1">
      <x v="602"/>
    </i>
    <i r="1">
      <x v="603"/>
    </i>
    <i r="1">
      <x v="606"/>
    </i>
    <i t="default">
      <x v="39"/>
    </i>
    <i>
      <x v="40"/>
      <x v="546"/>
    </i>
    <i r="1">
      <x v="547"/>
    </i>
    <i r="1">
      <x v="548"/>
    </i>
    <i r="1">
      <x v="558"/>
    </i>
    <i r="1">
      <x v="560"/>
    </i>
    <i r="1">
      <x v="562"/>
    </i>
    <i r="1">
      <x v="574"/>
    </i>
    <i r="1">
      <x v="575"/>
    </i>
    <i r="1">
      <x v="604"/>
    </i>
    <i t="default">
      <x v="40"/>
    </i>
    <i>
      <x v="45"/>
      <x v="591"/>
    </i>
    <i r="1">
      <x v="598"/>
    </i>
    <i t="default">
      <x v="45"/>
    </i>
    <i>
      <x v="46"/>
      <x v="599"/>
    </i>
    <i t="default">
      <x v="4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4A665E-DE45-4FCE-9A57-129D1D17C240}" name="Taulukko1" displayName="Taulukko1" ref="A2:B19" totalsRowShown="0">
  <autoFilter ref="A2:B19" xr:uid="{E84A665E-DE45-4FCE-9A57-129D1D17C240}"/>
  <tableColumns count="2">
    <tableColumn id="1" xr3:uid="{C78C47F9-8534-43EB-A0DD-F60254E23907}" name="Sijoitus"/>
    <tableColumn id="2" xr3:uid="{3847B225-3553-4651-B290-18A4AF77D417}" name="Pisteet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B13B1F3-27BD-4129-8F6C-C5ECB30D626F}" name="Taulukko2" displayName="Taulukko2" ref="A1:K200" totalsRowShown="0">
  <autoFilter ref="A1:K200" xr:uid="{EB13B1F3-27BD-4129-8F6C-C5ECB30D626F}"/>
  <tableColumns count="11">
    <tableColumn id="8" xr3:uid="{54667F5A-747E-45BC-9D4C-10AFE5DBC83A}" name="Laji"/>
    <tableColumn id="1" xr3:uid="{D3B53DE7-A64E-4102-A497-F3C3455264CF}" name="Kilpailu"/>
    <tableColumn id="2" xr3:uid="{6EBFC029-2FD8-4EF8-87D1-814C4C4BF1B3}" name="Sarja"/>
    <tableColumn id="5" xr3:uid="{254876DE-1335-4F6A-BE79-62CCA79EECD4}" name="Sijoitus"/>
    <tableColumn id="3" xr3:uid="{00675528-FEFA-4287-BBF7-37F81D90AF83}" name="Nimi"/>
    <tableColumn id="4" xr3:uid="{A900A45D-A514-4501-85B6-6699385F30CA}" name="Seura">
      <calculatedColumnFormula>INDEX(Taulukko25[Seura],MATCH(E2,Taulukko25[Nimi],0))</calculatedColumnFormula>
    </tableColumn>
    <tableColumn id="6" xr3:uid="{1AF58778-7C09-4CC8-BCE8-63A901F45AF2}" name="IndXCO" dataDxfId="6">
      <calculatedColumnFormula>MATCH(D2,Pistetaulukko!A:A,0)</calculatedColumnFormula>
    </tableColumn>
    <tableColumn id="7" xr3:uid="{7E633FB1-6F02-43CD-A450-37E5DC34069F}" name="PstXCO" dataDxfId="5">
      <calculatedColumnFormula>INDEX(Pistetaulukko!B:B,G2)</calculatedColumnFormula>
    </tableColumn>
    <tableColumn id="9" xr3:uid="{9266720E-BFB1-45DF-BB04-EA5F3530F900}" name="IndXCC">
      <calculatedColumnFormula>MATCH(D2,Pistetaulukko!D:D,0)</calculatedColumnFormula>
    </tableColumn>
    <tableColumn id="10" xr3:uid="{D8125FA0-2BCE-4D94-A58C-C1FB97EF2513}" name="PstXCC">
      <calculatedColumnFormula>INDEX(Pistetaulukko!E:E,I2)</calculatedColumnFormula>
    </tableColumn>
    <tableColumn id="11" xr3:uid="{536F6785-25F0-4115-A2D7-C520A62BC52A}" name="Pisteet" dataDxfId="4">
      <calculatedColumnFormula>IF(Taulukko2[[#This Row],[Laji]]="XCO",Taulukko2[[#This Row],[PstXCO]],Taulukko2[[#This Row],[PstXCC]])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5BD3BD5-27A5-448E-985E-A905EA7DEADF}" name="Taulukko25" displayName="Taulukko25" ref="A1:C491" totalsRowShown="0">
  <autoFilter ref="A1:C491" xr:uid="{45BD3BD5-27A5-448E-985E-A905EA7DEADF}"/>
  <sortState xmlns:xlrd2="http://schemas.microsoft.com/office/spreadsheetml/2017/richdata2" ref="A2:C358">
    <sortCondition ref="A1:A358"/>
  </sortState>
  <tableColumns count="3">
    <tableColumn id="3" xr3:uid="{4E5BDFCF-29ED-41F5-B38D-DB48537EAACB}" name="Nimi" dataDxfId="3"/>
    <tableColumn id="4" xr3:uid="{F2B00347-4541-4BC0-B47C-28FFB245D2B9}" name="Seura"/>
    <tableColumn id="1" xr3:uid="{E0D5E79C-2AAA-4299-ABD6-AC82F34713BF}" name="Sarake1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062128-A502-4052-BDE0-A0828E804048}" name="Taulukko3" displayName="Taulukko3" ref="A7:E93" totalsRowShown="0">
  <autoFilter ref="A7:E93" xr:uid="{60062128-A502-4052-BDE0-A0828E804048}">
    <filterColumn colId="4">
      <filters>
        <filter val="JurU"/>
      </filters>
    </filterColumn>
  </autoFilter>
  <tableColumns count="5">
    <tableColumn id="1" xr3:uid="{1F92DFAA-4971-4913-9957-76BFBF0654E5}" name="Laji"/>
    <tableColumn id="2" xr3:uid="{FF2262D0-3600-4026-80AE-B1EC67468F19}" name="Sarja"/>
    <tableColumn id="3" xr3:uid="{99403701-578F-40BA-9FDD-E7C4E0305DDC}" name="Sija" dataDxfId="1"/>
    <tableColumn id="4" xr3:uid="{790D32EA-CA7B-48F1-904C-5EFFA48FBC4E}" name="Nimi"/>
    <tableColumn id="5" xr3:uid="{2646B9DC-CDE8-4FC3-8F65-9E4758F2CAEA}" name="Seura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ebscorer.com/vlkmtb" TargetMode="External"/><Relationship Id="rId3" Type="http://schemas.openxmlformats.org/officeDocument/2006/relationships/hyperlink" Target="https://tulospalvelu.profiili.fi/hyvinkaa-xco-cup-1-9-5/" TargetMode="External"/><Relationship Id="rId7" Type="http://schemas.openxmlformats.org/officeDocument/2006/relationships/hyperlink" Target="https://www.webscorer.com/vlkmtb" TargetMode="External"/><Relationship Id="rId2" Type="http://schemas.openxmlformats.org/officeDocument/2006/relationships/hyperlink" Target="https://pyoraily.fi/tapahtumat-ja-kilpailut/xco-cup-2024/" TargetMode="External"/><Relationship Id="rId1" Type="http://schemas.openxmlformats.org/officeDocument/2006/relationships/hyperlink" Target="https://pyoraily.fi/kilpailut-ja-tapahtumat/alueelliset-kilpailut-ja-leirit/kultainen-kampi-cup/" TargetMode="External"/><Relationship Id="rId6" Type="http://schemas.openxmlformats.org/officeDocument/2006/relationships/hyperlink" Target="https://tulospalvelu.profiili.fi/kokkola-kokkola-mtb-weekend-xco-14-7/" TargetMode="External"/><Relationship Id="rId5" Type="http://schemas.openxmlformats.org/officeDocument/2006/relationships/hyperlink" Target="https://tulospalvelu.profiili.fi/kokkola-mtb-weekend-xcc-13-7/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https://tulospalvelu.profiili.fi/seinajoki-cycli-xco-cup-6-7/" TargetMode="External"/><Relationship Id="rId9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workbookViewId="0">
      <selection activeCell="K39" sqref="K39"/>
    </sheetView>
  </sheetViews>
  <sheetFormatPr defaultRowHeight="14.5" x14ac:dyDescent="0.35"/>
  <cols>
    <col min="2" max="2" width="9.453125" customWidth="1"/>
  </cols>
  <sheetData>
    <row r="1" spans="1:4" ht="15.5" x14ac:dyDescent="0.35">
      <c r="A1" s="38" t="s">
        <v>547</v>
      </c>
      <c r="D1" s="38"/>
    </row>
    <row r="2" spans="1:4" x14ac:dyDescent="0.35">
      <c r="A2" t="s">
        <v>4</v>
      </c>
      <c r="B2" t="s">
        <v>1</v>
      </c>
    </row>
    <row r="3" spans="1:4" x14ac:dyDescent="0.35">
      <c r="A3">
        <v>1</v>
      </c>
      <c r="B3">
        <v>30</v>
      </c>
    </row>
    <row r="4" spans="1:4" x14ac:dyDescent="0.35">
      <c r="A4">
        <v>2</v>
      </c>
      <c r="B4">
        <v>25</v>
      </c>
    </row>
    <row r="5" spans="1:4" x14ac:dyDescent="0.35">
      <c r="A5">
        <v>3</v>
      </c>
      <c r="B5">
        <v>21</v>
      </c>
    </row>
    <row r="6" spans="1:4" x14ac:dyDescent="0.35">
      <c r="A6">
        <v>4</v>
      </c>
      <c r="B6">
        <v>18</v>
      </c>
    </row>
    <row r="7" spans="1:4" x14ac:dyDescent="0.35">
      <c r="A7">
        <v>5</v>
      </c>
      <c r="B7">
        <v>16</v>
      </c>
    </row>
    <row r="8" spans="1:4" x14ac:dyDescent="0.35">
      <c r="A8">
        <v>6</v>
      </c>
      <c r="B8">
        <v>14</v>
      </c>
    </row>
    <row r="9" spans="1:4" x14ac:dyDescent="0.35">
      <c r="A9">
        <v>7</v>
      </c>
      <c r="B9">
        <v>12</v>
      </c>
    </row>
    <row r="10" spans="1:4" x14ac:dyDescent="0.35">
      <c r="A10">
        <v>8</v>
      </c>
      <c r="B10">
        <v>10</v>
      </c>
    </row>
    <row r="11" spans="1:4" x14ac:dyDescent="0.35">
      <c r="A11">
        <v>9</v>
      </c>
      <c r="B11">
        <v>8</v>
      </c>
    </row>
    <row r="12" spans="1:4" x14ac:dyDescent="0.35">
      <c r="A12">
        <v>10</v>
      </c>
      <c r="B12">
        <v>7</v>
      </c>
    </row>
    <row r="13" spans="1:4" x14ac:dyDescent="0.35">
      <c r="A13">
        <v>11</v>
      </c>
      <c r="B13">
        <v>6</v>
      </c>
    </row>
    <row r="14" spans="1:4" x14ac:dyDescent="0.35">
      <c r="A14">
        <v>12</v>
      </c>
      <c r="B14">
        <v>5</v>
      </c>
    </row>
    <row r="15" spans="1:4" x14ac:dyDescent="0.35">
      <c r="A15">
        <v>13</v>
      </c>
      <c r="B15">
        <v>4</v>
      </c>
    </row>
    <row r="16" spans="1:4" x14ac:dyDescent="0.35">
      <c r="A16">
        <v>14</v>
      </c>
      <c r="B16">
        <v>3</v>
      </c>
    </row>
    <row r="17" spans="1:2" x14ac:dyDescent="0.35">
      <c r="A17">
        <v>15</v>
      </c>
      <c r="B17">
        <v>2</v>
      </c>
    </row>
    <row r="18" spans="1:2" x14ac:dyDescent="0.35">
      <c r="A18">
        <v>16</v>
      </c>
      <c r="B18">
        <v>1</v>
      </c>
    </row>
    <row r="19" spans="1:2" x14ac:dyDescent="0.35">
      <c r="A19" t="s">
        <v>696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5"/>
  <sheetViews>
    <sheetView topLeftCell="A162" zoomScaleNormal="100" workbookViewId="0">
      <selection activeCell="E199" sqref="E199"/>
    </sheetView>
  </sheetViews>
  <sheetFormatPr defaultRowHeight="15" customHeight="1" x14ac:dyDescent="0.35"/>
  <cols>
    <col min="1" max="1" width="14.1796875" customWidth="1"/>
    <col min="2" max="2" width="21.54296875" customWidth="1"/>
    <col min="3" max="3" width="8.1796875" customWidth="1"/>
    <col min="4" max="4" width="9.453125" customWidth="1"/>
    <col min="5" max="5" width="27.26953125" bestFit="1" customWidth="1"/>
    <col min="6" max="6" width="15.26953125" bestFit="1" customWidth="1"/>
    <col min="7" max="7" width="14.54296875" customWidth="1"/>
    <col min="8" max="8" width="9.7265625" customWidth="1"/>
    <col min="9" max="9" width="9.81640625" customWidth="1"/>
    <col min="10" max="10" width="10.453125" customWidth="1"/>
    <col min="11" max="11" width="9.1796875" style="2" customWidth="1"/>
    <col min="12" max="256" width="9.1796875" customWidth="1"/>
  </cols>
  <sheetData>
    <row r="1" spans="1:11" ht="15" customHeight="1" x14ac:dyDescent="0.35">
      <c r="A1" t="s">
        <v>534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549</v>
      </c>
      <c r="H1" t="s">
        <v>550</v>
      </c>
      <c r="I1" t="s">
        <v>551</v>
      </c>
      <c r="J1" t="s">
        <v>552</v>
      </c>
      <c r="K1" t="s">
        <v>1</v>
      </c>
    </row>
    <row r="2" spans="1:11" ht="15" customHeight="1" x14ac:dyDescent="0.35">
      <c r="A2" t="s">
        <v>547</v>
      </c>
      <c r="B2" t="s">
        <v>622</v>
      </c>
      <c r="C2" t="s">
        <v>682</v>
      </c>
      <c r="D2">
        <v>1</v>
      </c>
      <c r="E2" t="s">
        <v>623</v>
      </c>
      <c r="F2" t="str">
        <f>INDEX(Taulukko25[Seura],MATCH(E2,Taulukko25[Nimi],0))</f>
        <v>RSR</v>
      </c>
      <c r="G2">
        <f>MATCH(D2,Pistetaulukko!A:A,0)</f>
        <v>3</v>
      </c>
      <c r="H2">
        <f>INDEX(Pistetaulukko!B:B,G2)</f>
        <v>30</v>
      </c>
      <c r="I2" t="e">
        <f>MATCH(D2,Pistetaulukko!D:D,0)</f>
        <v>#N/A</v>
      </c>
      <c r="J2" t="e">
        <f>INDEX(Pistetaulukko!E:E,I2)</f>
        <v>#N/A</v>
      </c>
      <c r="K2" s="2">
        <f>IF(Taulukko2[[#This Row],[Laji]]="XCO",Taulukko2[[#This Row],[PstXCO]],Taulukko2[[#This Row],[PstXCC]])</f>
        <v>30</v>
      </c>
    </row>
    <row r="3" spans="1:11" ht="15" customHeight="1" x14ac:dyDescent="0.35">
      <c r="A3" t="s">
        <v>547</v>
      </c>
      <c r="B3" t="s">
        <v>622</v>
      </c>
      <c r="C3" t="s">
        <v>682</v>
      </c>
      <c r="D3">
        <v>2</v>
      </c>
      <c r="E3" t="s">
        <v>563</v>
      </c>
      <c r="F3" t="str">
        <f>INDEX(Taulukko25[Seura],MATCH(E3,Taulukko25[Nimi],0))</f>
        <v>KorsKa</v>
      </c>
      <c r="G3">
        <f>MATCH(D3,Pistetaulukko!A:A,0)</f>
        <v>4</v>
      </c>
      <c r="H3">
        <f>INDEX(Pistetaulukko!B:B,G3)</f>
        <v>25</v>
      </c>
      <c r="I3" t="e">
        <f>MATCH(D3,Pistetaulukko!D:D,0)</f>
        <v>#N/A</v>
      </c>
      <c r="J3" t="e">
        <f>INDEX(Pistetaulukko!E:E,I3)</f>
        <v>#N/A</v>
      </c>
      <c r="K3" s="2">
        <f>IF(Taulukko2[[#This Row],[Laji]]="XCO",Taulukko2[[#This Row],[PstXCO]],Taulukko2[[#This Row],[PstXCC]])</f>
        <v>25</v>
      </c>
    </row>
    <row r="4" spans="1:11" ht="15" customHeight="1" x14ac:dyDescent="0.35">
      <c r="A4" t="s">
        <v>547</v>
      </c>
      <c r="B4" t="s">
        <v>622</v>
      </c>
      <c r="C4" t="s">
        <v>682</v>
      </c>
      <c r="D4">
        <v>3</v>
      </c>
      <c r="E4" t="s">
        <v>625</v>
      </c>
      <c r="F4" t="str">
        <f>INDEX(Taulukko25[Seura],MATCH(E4,Taulukko25[Nimi],0))</f>
        <v>RSR</v>
      </c>
      <c r="G4">
        <f>MATCH(D4,Pistetaulukko!A:A,0)</f>
        <v>5</v>
      </c>
      <c r="H4">
        <f>INDEX(Pistetaulukko!B:B,G4)</f>
        <v>21</v>
      </c>
      <c r="I4" t="e">
        <f>MATCH(D4,Pistetaulukko!D:D,0)</f>
        <v>#N/A</v>
      </c>
      <c r="J4" t="e">
        <f>INDEX(Pistetaulukko!E:E,I4)</f>
        <v>#N/A</v>
      </c>
      <c r="K4" s="2">
        <f>IF(Taulukko2[[#This Row],[Laji]]="XCO",Taulukko2[[#This Row],[PstXCO]],Taulukko2[[#This Row],[PstXCC]])</f>
        <v>21</v>
      </c>
    </row>
    <row r="5" spans="1:11" ht="15" customHeight="1" x14ac:dyDescent="0.35">
      <c r="A5" t="s">
        <v>547</v>
      </c>
      <c r="B5" t="s">
        <v>622</v>
      </c>
      <c r="C5" t="s">
        <v>682</v>
      </c>
      <c r="D5">
        <v>4</v>
      </c>
      <c r="E5" t="s">
        <v>190</v>
      </c>
      <c r="F5" t="str">
        <f>INDEX(Taulukko25[Seura],MATCH(E5,Taulukko25[Nimi],0))</f>
        <v>RMTB</v>
      </c>
      <c r="G5">
        <f>MATCH(D5,Pistetaulukko!A:A,0)</f>
        <v>6</v>
      </c>
      <c r="H5">
        <f>INDEX(Pistetaulukko!B:B,G5)</f>
        <v>18</v>
      </c>
      <c r="I5" t="e">
        <f>MATCH(D5,Pistetaulukko!D:D,0)</f>
        <v>#N/A</v>
      </c>
      <c r="J5" t="e">
        <f>INDEX(Pistetaulukko!E:E,I5)</f>
        <v>#N/A</v>
      </c>
      <c r="K5" s="2">
        <f>IF(Taulukko2[[#This Row],[Laji]]="XCO",Taulukko2[[#This Row],[PstXCO]],Taulukko2[[#This Row],[PstXCC]])</f>
        <v>18</v>
      </c>
    </row>
    <row r="6" spans="1:11" ht="15" customHeight="1" x14ac:dyDescent="0.35">
      <c r="A6" t="s">
        <v>547</v>
      </c>
      <c r="B6" t="s">
        <v>622</v>
      </c>
      <c r="C6" t="s">
        <v>553</v>
      </c>
      <c r="D6">
        <v>1</v>
      </c>
      <c r="E6" t="s">
        <v>555</v>
      </c>
      <c r="F6" t="str">
        <f>INDEX(Taulukko25[Seura],MATCH(E6,Taulukko25[Nimi],0))</f>
        <v>VlkMTB</v>
      </c>
      <c r="G6">
        <f>MATCH(D6,Pistetaulukko!A:A,0)</f>
        <v>3</v>
      </c>
      <c r="H6">
        <f>INDEX(Pistetaulukko!B:B,G6)</f>
        <v>30</v>
      </c>
      <c r="I6" t="e">
        <f>MATCH(D6,Pistetaulukko!D:D,0)</f>
        <v>#N/A</v>
      </c>
      <c r="J6" t="e">
        <f>INDEX(Pistetaulukko!E:E,I6)</f>
        <v>#N/A</v>
      </c>
      <c r="K6" s="2">
        <f>IF(Taulukko2[[#This Row],[Laji]]="XCO",Taulukko2[[#This Row],[PstXCO]],Taulukko2[[#This Row],[PstXCC]])</f>
        <v>30</v>
      </c>
    </row>
    <row r="7" spans="1:11" ht="15" customHeight="1" x14ac:dyDescent="0.35">
      <c r="A7" t="s">
        <v>547</v>
      </c>
      <c r="B7" t="s">
        <v>622</v>
      </c>
      <c r="C7" t="s">
        <v>683</v>
      </c>
      <c r="D7">
        <v>1</v>
      </c>
      <c r="E7" t="s">
        <v>569</v>
      </c>
      <c r="F7" t="str">
        <f>INDEX(Taulukko25[Seura],MATCH(E7,Taulukko25[Nimi],0))</f>
        <v>VlkMTB</v>
      </c>
      <c r="G7">
        <f>MATCH(D7,Pistetaulukko!A:A,0)</f>
        <v>3</v>
      </c>
      <c r="H7">
        <f>INDEX(Pistetaulukko!B:B,G7)</f>
        <v>30</v>
      </c>
      <c r="I7" t="e">
        <f>MATCH(D7,Pistetaulukko!D:D,0)</f>
        <v>#N/A</v>
      </c>
      <c r="J7" t="e">
        <f>INDEX(Pistetaulukko!E:E,I7)</f>
        <v>#N/A</v>
      </c>
      <c r="K7" s="2">
        <f>IF(Taulukko2[[#This Row],[Laji]]="XCO",Taulukko2[[#This Row],[PstXCO]],Taulukko2[[#This Row],[PstXCC]])</f>
        <v>30</v>
      </c>
    </row>
    <row r="8" spans="1:11" ht="15" customHeight="1" x14ac:dyDescent="0.35">
      <c r="A8" t="s">
        <v>547</v>
      </c>
      <c r="B8" t="s">
        <v>622</v>
      </c>
      <c r="C8" t="s">
        <v>683</v>
      </c>
      <c r="D8">
        <v>2</v>
      </c>
      <c r="E8" t="s">
        <v>626</v>
      </c>
      <c r="F8" t="str">
        <f>INDEX(Taulukko25[Seura],MATCH(E8,Taulukko25[Nimi],0))</f>
        <v>Akilles</v>
      </c>
      <c r="G8">
        <f>MATCH(D8,Pistetaulukko!A:A,0)</f>
        <v>4</v>
      </c>
      <c r="H8">
        <f>INDEX(Pistetaulukko!B:B,G8)</f>
        <v>25</v>
      </c>
      <c r="I8" t="e">
        <f>MATCH(D8,Pistetaulukko!D:D,0)</f>
        <v>#N/A</v>
      </c>
      <c r="J8" t="e">
        <f>INDEX(Pistetaulukko!E:E,I8)</f>
        <v>#N/A</v>
      </c>
      <c r="K8" s="2">
        <f>IF(Taulukko2[[#This Row],[Laji]]="XCO",Taulukko2[[#This Row],[PstXCO]],Taulukko2[[#This Row],[PstXCC]])</f>
        <v>25</v>
      </c>
    </row>
    <row r="9" spans="1:11" ht="15" customHeight="1" x14ac:dyDescent="0.35">
      <c r="A9" t="s">
        <v>547</v>
      </c>
      <c r="B9" t="s">
        <v>622</v>
      </c>
      <c r="C9" t="s">
        <v>683</v>
      </c>
      <c r="D9">
        <v>3</v>
      </c>
      <c r="E9" t="s">
        <v>570</v>
      </c>
      <c r="F9" t="str">
        <f>INDEX(Taulukko25[Seura],MATCH(E9,Taulukko25[Nimi],0))</f>
        <v>TWD-Länken</v>
      </c>
      <c r="G9">
        <f>MATCH(D9,Pistetaulukko!A:A,0)</f>
        <v>5</v>
      </c>
      <c r="H9">
        <f>INDEX(Pistetaulukko!B:B,G9)</f>
        <v>21</v>
      </c>
      <c r="I9" t="e">
        <f>MATCH(D9,Pistetaulukko!D:D,0)</f>
        <v>#N/A</v>
      </c>
      <c r="J9" t="e">
        <f>INDEX(Pistetaulukko!E:E,I9)</f>
        <v>#N/A</v>
      </c>
      <c r="K9" s="2">
        <f>IF(Taulukko2[[#This Row],[Laji]]="XCO",Taulukko2[[#This Row],[PstXCO]],Taulukko2[[#This Row],[PstXCC]])</f>
        <v>21</v>
      </c>
    </row>
    <row r="10" spans="1:11" ht="15" customHeight="1" x14ac:dyDescent="0.35">
      <c r="A10" t="s">
        <v>547</v>
      </c>
      <c r="B10" t="s">
        <v>622</v>
      </c>
      <c r="C10" t="s">
        <v>683</v>
      </c>
      <c r="D10">
        <v>4</v>
      </c>
      <c r="E10" t="s">
        <v>627</v>
      </c>
      <c r="F10" t="str">
        <f>INDEX(Taulukko25[Seura],MATCH(E10,Taulukko25[Nimi],0))</f>
        <v>LaPy</v>
      </c>
      <c r="G10">
        <f>MATCH(D10,Pistetaulukko!A:A,0)</f>
        <v>6</v>
      </c>
      <c r="H10">
        <f>INDEX(Pistetaulukko!B:B,G10)</f>
        <v>18</v>
      </c>
      <c r="I10" t="e">
        <f>MATCH(D10,Pistetaulukko!D:D,0)</f>
        <v>#N/A</v>
      </c>
      <c r="J10" t="e">
        <f>INDEX(Pistetaulukko!E:E,I10)</f>
        <v>#N/A</v>
      </c>
      <c r="K10" s="2">
        <f>IF(Taulukko2[[#This Row],[Laji]]="XCO",Taulukko2[[#This Row],[PstXCO]],Taulukko2[[#This Row],[PstXCC]])</f>
        <v>18</v>
      </c>
    </row>
    <row r="11" spans="1:11" ht="15" customHeight="1" x14ac:dyDescent="0.35">
      <c r="A11" t="s">
        <v>547</v>
      </c>
      <c r="B11" t="s">
        <v>622</v>
      </c>
      <c r="C11" t="s">
        <v>645</v>
      </c>
      <c r="D11">
        <v>1</v>
      </c>
      <c r="E11" t="s">
        <v>70</v>
      </c>
      <c r="F11" t="str">
        <f>INDEX(Taulukko25[Seura],MATCH(E11,Taulukko25[Nimi],0))</f>
        <v xml:space="preserve">LrPy </v>
      </c>
      <c r="G11">
        <f>MATCH(D11,Pistetaulukko!A:A,0)</f>
        <v>3</v>
      </c>
      <c r="H11">
        <f>INDEX(Pistetaulukko!B:B,G11)</f>
        <v>30</v>
      </c>
      <c r="I11" t="e">
        <f>MATCH(D11,Pistetaulukko!D:D,0)</f>
        <v>#N/A</v>
      </c>
      <c r="J11" t="e">
        <f>INDEX(Pistetaulukko!E:E,I11)</f>
        <v>#N/A</v>
      </c>
      <c r="K11" s="2">
        <f>IF(Taulukko2[[#This Row],[Laji]]="XCO",Taulukko2[[#This Row],[PstXCO]],Taulukko2[[#This Row],[PstXCC]])</f>
        <v>30</v>
      </c>
    </row>
    <row r="12" spans="1:11" ht="15" customHeight="1" x14ac:dyDescent="0.35">
      <c r="A12" t="s">
        <v>547</v>
      </c>
      <c r="B12" t="s">
        <v>622</v>
      </c>
      <c r="C12" t="s">
        <v>645</v>
      </c>
      <c r="D12">
        <v>2</v>
      </c>
      <c r="E12" t="s">
        <v>71</v>
      </c>
      <c r="F12" t="str">
        <f>INDEX(Taulukko25[Seura],MATCH(E12,Taulukko25[Nimi],0))</f>
        <v>Rideep</v>
      </c>
      <c r="G12">
        <f>MATCH(D12,Pistetaulukko!A:A,0)</f>
        <v>4</v>
      </c>
      <c r="H12">
        <f>INDEX(Pistetaulukko!B:B,G12)</f>
        <v>25</v>
      </c>
      <c r="I12" t="e">
        <f>MATCH(D12,Pistetaulukko!D:D,0)</f>
        <v>#N/A</v>
      </c>
      <c r="J12" t="e">
        <f>INDEX(Pistetaulukko!E:E,I12)</f>
        <v>#N/A</v>
      </c>
      <c r="K12" s="2">
        <f>IF(Taulukko2[[#This Row],[Laji]]="XCO",Taulukko2[[#This Row],[PstXCO]],Taulukko2[[#This Row],[PstXCC]])</f>
        <v>25</v>
      </c>
    </row>
    <row r="13" spans="1:11" ht="15" customHeight="1" x14ac:dyDescent="0.35">
      <c r="A13" t="s">
        <v>547</v>
      </c>
      <c r="B13" t="s">
        <v>622</v>
      </c>
      <c r="C13" t="s">
        <v>645</v>
      </c>
      <c r="D13">
        <v>3</v>
      </c>
      <c r="E13" t="s">
        <v>79</v>
      </c>
      <c r="F13" t="str">
        <f>INDEX(Taulukko25[Seura],MATCH(E13,Taulukko25[Nimi],0))</f>
        <v>VlkMTB</v>
      </c>
      <c r="G13">
        <f>MATCH(D13,Pistetaulukko!A:A,0)</f>
        <v>5</v>
      </c>
      <c r="H13">
        <f>INDEX(Pistetaulukko!B:B,G13)</f>
        <v>21</v>
      </c>
      <c r="I13" t="e">
        <f>MATCH(D13,Pistetaulukko!D:D,0)</f>
        <v>#N/A</v>
      </c>
      <c r="J13" t="e">
        <f>INDEX(Pistetaulukko!E:E,I13)</f>
        <v>#N/A</v>
      </c>
      <c r="K13" s="2">
        <f>IF(Taulukko2[[#This Row],[Laji]]="XCO",Taulukko2[[#This Row],[PstXCO]],Taulukko2[[#This Row],[PstXCC]])</f>
        <v>21</v>
      </c>
    </row>
    <row r="14" spans="1:11" ht="15" customHeight="1" x14ac:dyDescent="0.35">
      <c r="A14" t="s">
        <v>547</v>
      </c>
      <c r="B14" t="s">
        <v>622</v>
      </c>
      <c r="C14" t="s">
        <v>645</v>
      </c>
      <c r="D14">
        <v>4</v>
      </c>
      <c r="E14" t="s">
        <v>75</v>
      </c>
      <c r="F14" t="str">
        <f>INDEX(Taulukko25[Seura],MATCH(E14,Taulukko25[Nimi],0))</f>
        <v>HyPy</v>
      </c>
      <c r="G14">
        <f>MATCH(D14,Pistetaulukko!A:A,0)</f>
        <v>6</v>
      </c>
      <c r="H14">
        <f>INDEX(Pistetaulukko!B:B,G14)</f>
        <v>18</v>
      </c>
      <c r="I14" t="e">
        <f>MATCH(D14,Pistetaulukko!D:D,0)</f>
        <v>#N/A</v>
      </c>
      <c r="J14" t="e">
        <f>INDEX(Pistetaulukko!E:E,I14)</f>
        <v>#N/A</v>
      </c>
      <c r="K14" s="2">
        <f>IF(Taulukko2[[#This Row],[Laji]]="XCO",Taulukko2[[#This Row],[PstXCO]],Taulukko2[[#This Row],[PstXCC]])</f>
        <v>18</v>
      </c>
    </row>
    <row r="15" spans="1:11" ht="15" customHeight="1" x14ac:dyDescent="0.35">
      <c r="A15" t="s">
        <v>547</v>
      </c>
      <c r="B15" t="s">
        <v>622</v>
      </c>
      <c r="C15" t="s">
        <v>645</v>
      </c>
      <c r="D15">
        <v>5</v>
      </c>
      <c r="E15" t="s">
        <v>318</v>
      </c>
      <c r="F15" t="str">
        <f>INDEX(Taulukko25[Seura],MATCH(E15,Taulukko25[Nimi],0))</f>
        <v>KorsKa</v>
      </c>
      <c r="G15">
        <f>MATCH(D15,Pistetaulukko!A:A,0)</f>
        <v>7</v>
      </c>
      <c r="H15">
        <f>INDEX(Pistetaulukko!B:B,G15)</f>
        <v>16</v>
      </c>
      <c r="I15" t="e">
        <f>MATCH(D15,Pistetaulukko!D:D,0)</f>
        <v>#N/A</v>
      </c>
      <c r="J15" t="e">
        <f>INDEX(Pistetaulukko!E:E,I15)</f>
        <v>#N/A</v>
      </c>
      <c r="K15" s="2">
        <f>IF(Taulukko2[[#This Row],[Laji]]="XCO",Taulukko2[[#This Row],[PstXCO]],Taulukko2[[#This Row],[PstXCC]])</f>
        <v>16</v>
      </c>
    </row>
    <row r="16" spans="1:11" ht="15" customHeight="1" x14ac:dyDescent="0.35">
      <c r="A16" t="s">
        <v>547</v>
      </c>
      <c r="B16" t="s">
        <v>622</v>
      </c>
      <c r="C16" t="s">
        <v>645</v>
      </c>
      <c r="D16">
        <v>6</v>
      </c>
      <c r="E16" t="s">
        <v>206</v>
      </c>
      <c r="F16" t="str">
        <f>INDEX(Taulukko25[Seura],MATCH(E16,Taulukko25[Nimi],0))</f>
        <v>OTC</v>
      </c>
      <c r="G16">
        <f>MATCH(D16,Pistetaulukko!A:A,0)</f>
        <v>8</v>
      </c>
      <c r="H16">
        <f>INDEX(Pistetaulukko!B:B,G16)</f>
        <v>14</v>
      </c>
      <c r="I16" t="e">
        <f>MATCH(D16,Pistetaulukko!D:D,0)</f>
        <v>#N/A</v>
      </c>
      <c r="J16" t="e">
        <f>INDEX(Pistetaulukko!E:E,I16)</f>
        <v>#N/A</v>
      </c>
      <c r="K16" s="2">
        <f>IF(Taulukko2[[#This Row],[Laji]]="XCO",Taulukko2[[#This Row],[PstXCO]],Taulukko2[[#This Row],[PstXCC]])</f>
        <v>14</v>
      </c>
    </row>
    <row r="17" spans="1:12" ht="15" customHeight="1" x14ac:dyDescent="0.35">
      <c r="A17" t="s">
        <v>547</v>
      </c>
      <c r="B17" t="s">
        <v>622</v>
      </c>
      <c r="C17" t="s">
        <v>645</v>
      </c>
      <c r="D17">
        <v>7</v>
      </c>
      <c r="E17" t="s">
        <v>629</v>
      </c>
      <c r="F17" t="str">
        <f>INDEX(Taulukko25[Seura],MATCH(E17,Taulukko25[Nimi],0))</f>
        <v>Hypy</v>
      </c>
      <c r="G17">
        <f>MATCH(D17,Pistetaulukko!A:A,0)</f>
        <v>9</v>
      </c>
      <c r="H17">
        <f>INDEX(Pistetaulukko!B:B,G17)</f>
        <v>12</v>
      </c>
      <c r="I17" t="e">
        <f>MATCH(D17,Pistetaulukko!D:D,0)</f>
        <v>#N/A</v>
      </c>
      <c r="J17" t="e">
        <f>INDEX(Pistetaulukko!E:E,I17)</f>
        <v>#N/A</v>
      </c>
      <c r="K17" s="2">
        <f>IF(Taulukko2[[#This Row],[Laji]]="XCO",Taulukko2[[#This Row],[PstXCO]],Taulukko2[[#This Row],[PstXCC]])</f>
        <v>12</v>
      </c>
    </row>
    <row r="18" spans="1:12" ht="15" customHeight="1" x14ac:dyDescent="0.35">
      <c r="A18" t="s">
        <v>547</v>
      </c>
      <c r="B18" t="s">
        <v>622</v>
      </c>
      <c r="C18" t="s">
        <v>573</v>
      </c>
      <c r="D18">
        <v>1</v>
      </c>
      <c r="E18" t="s">
        <v>605</v>
      </c>
      <c r="F18" t="str">
        <f>INDEX(Taulukko25[Seura],MATCH(E18,Taulukko25[Nimi],0))</f>
        <v>CCH</v>
      </c>
      <c r="G18">
        <f>MATCH(D18,Pistetaulukko!A:A,0)</f>
        <v>3</v>
      </c>
      <c r="H18">
        <f>INDEX(Pistetaulukko!B:B,G18)</f>
        <v>30</v>
      </c>
      <c r="I18" t="e">
        <f>MATCH(D18,Pistetaulukko!D:D,0)</f>
        <v>#N/A</v>
      </c>
      <c r="J18" t="e">
        <f>INDEX(Pistetaulukko!E:E,I18)</f>
        <v>#N/A</v>
      </c>
      <c r="K18" s="2">
        <f>IF(Taulukko2[[#This Row],[Laji]]="XCO",Taulukko2[[#This Row],[PstXCO]],Taulukko2[[#This Row],[PstXCC]])</f>
        <v>30</v>
      </c>
    </row>
    <row r="19" spans="1:12" ht="15" customHeight="1" x14ac:dyDescent="0.35">
      <c r="A19" t="s">
        <v>547</v>
      </c>
      <c r="B19" t="s">
        <v>622</v>
      </c>
      <c r="C19" t="s">
        <v>573</v>
      </c>
      <c r="D19">
        <v>2</v>
      </c>
      <c r="E19" t="s">
        <v>631</v>
      </c>
      <c r="F19" t="str">
        <f>INDEX(Taulukko25[Seura],MATCH(E19,Taulukko25[Nimi],0))</f>
        <v>TY</v>
      </c>
      <c r="G19">
        <f>MATCH(D19,Pistetaulukko!A:A,0)</f>
        <v>4</v>
      </c>
      <c r="H19">
        <f>INDEX(Pistetaulukko!B:B,G19)</f>
        <v>25</v>
      </c>
      <c r="I19" t="e">
        <f>MATCH(D19,Pistetaulukko!D:D,0)</f>
        <v>#N/A</v>
      </c>
      <c r="J19" t="e">
        <f>INDEX(Pistetaulukko!E:E,I19)</f>
        <v>#N/A</v>
      </c>
      <c r="K19" s="2">
        <f>IF(Taulukko2[[#This Row],[Laji]]="XCO",Taulukko2[[#This Row],[PstXCO]],Taulukko2[[#This Row],[PstXCC]])</f>
        <v>25</v>
      </c>
      <c r="L19">
        <f>IF(A2="XCO",1,0)</f>
        <v>1</v>
      </c>
    </row>
    <row r="20" spans="1:12" ht="15" customHeight="1" x14ac:dyDescent="0.35">
      <c r="A20" t="s">
        <v>547</v>
      </c>
      <c r="B20" t="s">
        <v>622</v>
      </c>
      <c r="C20" t="s">
        <v>584</v>
      </c>
      <c r="D20">
        <v>1</v>
      </c>
      <c r="E20" t="s">
        <v>632</v>
      </c>
      <c r="F20" t="str">
        <f>INDEX(Taulukko25[Seura],MATCH(E20,Taulukko25[Nimi],0))</f>
        <v>VlkMTB</v>
      </c>
      <c r="G20">
        <f>MATCH(D20,Pistetaulukko!A:A,0)</f>
        <v>3</v>
      </c>
      <c r="H20">
        <f>INDEX(Pistetaulukko!B:B,G20)</f>
        <v>30</v>
      </c>
      <c r="I20" t="e">
        <f>MATCH(D20,Pistetaulukko!D:D,0)</f>
        <v>#N/A</v>
      </c>
      <c r="J20" t="e">
        <f>INDEX(Pistetaulukko!E:E,I20)</f>
        <v>#N/A</v>
      </c>
      <c r="K20" s="2">
        <f>IF(Taulukko2[[#This Row],[Laji]]="XCO",Taulukko2[[#This Row],[PstXCO]],Taulukko2[[#This Row],[PstXCC]])</f>
        <v>30</v>
      </c>
    </row>
    <row r="21" spans="1:12" ht="15" customHeight="1" x14ac:dyDescent="0.35">
      <c r="A21" t="s">
        <v>547</v>
      </c>
      <c r="B21" t="s">
        <v>622</v>
      </c>
      <c r="C21" t="s">
        <v>584</v>
      </c>
      <c r="D21">
        <v>2</v>
      </c>
      <c r="E21" t="s">
        <v>586</v>
      </c>
      <c r="F21" t="str">
        <f>INDEX(Taulukko25[Seura],MATCH(E21,Taulukko25[Nimi],0))</f>
        <v>VlkMTB</v>
      </c>
      <c r="G21">
        <f>MATCH(D21,Pistetaulukko!A:A,0)</f>
        <v>4</v>
      </c>
      <c r="H21">
        <f>INDEX(Pistetaulukko!B:B,G21)</f>
        <v>25</v>
      </c>
      <c r="I21" t="e">
        <f>MATCH(D21,Pistetaulukko!D:D,0)</f>
        <v>#N/A</v>
      </c>
      <c r="J21" t="e">
        <f>INDEX(Pistetaulukko!E:E,I21)</f>
        <v>#N/A</v>
      </c>
      <c r="K21" s="2">
        <f>IF(Taulukko2[[#This Row],[Laji]]="XCO",Taulukko2[[#This Row],[PstXCO]],Taulukko2[[#This Row],[PstXCC]])</f>
        <v>25</v>
      </c>
    </row>
    <row r="22" spans="1:12" ht="15" customHeight="1" x14ac:dyDescent="0.35">
      <c r="A22" t="s">
        <v>547</v>
      </c>
      <c r="B22" t="s">
        <v>622</v>
      </c>
      <c r="C22" t="s">
        <v>584</v>
      </c>
      <c r="D22">
        <v>3</v>
      </c>
      <c r="E22" t="s">
        <v>633</v>
      </c>
      <c r="F22" t="str">
        <f>INDEX(Taulukko25[Seura],MATCH(E22,Taulukko25[Nimi],0))</f>
        <v>CC Ilves</v>
      </c>
      <c r="G22">
        <f>MATCH(D22,Pistetaulukko!A:A,0)</f>
        <v>5</v>
      </c>
      <c r="H22">
        <f>INDEX(Pistetaulukko!B:B,G22)</f>
        <v>21</v>
      </c>
      <c r="I22" t="e">
        <f>MATCH(D22,Pistetaulukko!D:D,0)</f>
        <v>#N/A</v>
      </c>
      <c r="J22" t="e">
        <f>INDEX(Pistetaulukko!E:E,I22)</f>
        <v>#N/A</v>
      </c>
      <c r="K22" s="2">
        <f>IF(Taulukko2[[#This Row],[Laji]]="XCO",Taulukko2[[#This Row],[PstXCO]],Taulukko2[[#This Row],[PstXCC]])</f>
        <v>21</v>
      </c>
    </row>
    <row r="23" spans="1:12" ht="15" customHeight="1" x14ac:dyDescent="0.35">
      <c r="A23" t="s">
        <v>547</v>
      </c>
      <c r="B23" t="s">
        <v>622</v>
      </c>
      <c r="C23" t="s">
        <v>584</v>
      </c>
      <c r="D23">
        <v>4</v>
      </c>
      <c r="E23" t="s">
        <v>599</v>
      </c>
      <c r="F23" t="str">
        <f>INDEX(Taulukko25[Seura],MATCH(E23,Taulukko25[Nimi],0))</f>
        <v>CCH</v>
      </c>
      <c r="G23">
        <f>MATCH(D23,Pistetaulukko!A:A,0)</f>
        <v>6</v>
      </c>
      <c r="H23">
        <f>INDEX(Pistetaulukko!B:B,G23)</f>
        <v>18</v>
      </c>
      <c r="I23" t="e">
        <f>MATCH(D23,Pistetaulukko!D:D,0)</f>
        <v>#N/A</v>
      </c>
      <c r="J23" t="e">
        <f>INDEX(Pistetaulukko!E:E,I23)</f>
        <v>#N/A</v>
      </c>
      <c r="K23" s="2">
        <f>IF(Taulukko2[[#This Row],[Laji]]="XCO",Taulukko2[[#This Row],[PstXCO]],Taulukko2[[#This Row],[PstXCC]])</f>
        <v>18</v>
      </c>
    </row>
    <row r="24" spans="1:12" ht="15" customHeight="1" x14ac:dyDescent="0.35">
      <c r="A24" t="s">
        <v>547</v>
      </c>
      <c r="B24" t="s">
        <v>639</v>
      </c>
      <c r="C24" t="s">
        <v>682</v>
      </c>
      <c r="D24">
        <v>1</v>
      </c>
      <c r="E24" t="s">
        <v>590</v>
      </c>
      <c r="F24" t="str">
        <f>INDEX(Taulukko25[Seura],MATCH(E24,Taulukko25[Nimi],0))</f>
        <v>JYPS</v>
      </c>
      <c r="G24">
        <f>MATCH(D24,Pistetaulukko!A:A,0)</f>
        <v>3</v>
      </c>
      <c r="H24">
        <f>INDEX(Pistetaulukko!B:B,G24)</f>
        <v>30</v>
      </c>
      <c r="I24" t="e">
        <f>MATCH(D24,Pistetaulukko!D:D,0)</f>
        <v>#N/A</v>
      </c>
      <c r="J24" t="e">
        <f>INDEX(Pistetaulukko!E:E,I24)</f>
        <v>#N/A</v>
      </c>
      <c r="K24" s="2">
        <f>IF(Taulukko2[[#This Row],[Laji]]="XCO",Taulukko2[[#This Row],[PstXCO]],Taulukko2[[#This Row],[PstXCC]])</f>
        <v>30</v>
      </c>
    </row>
    <row r="25" spans="1:12" ht="15" customHeight="1" x14ac:dyDescent="0.35">
      <c r="A25" t="s">
        <v>547</v>
      </c>
      <c r="B25" t="s">
        <v>639</v>
      </c>
      <c r="C25" t="s">
        <v>682</v>
      </c>
      <c r="D25">
        <v>2</v>
      </c>
      <c r="E25" t="s">
        <v>563</v>
      </c>
      <c r="F25" t="str">
        <f>INDEX(Taulukko25[Seura],MATCH(E25,Taulukko25[Nimi],0))</f>
        <v>KorsKa</v>
      </c>
      <c r="G25">
        <f>MATCH(D25,Pistetaulukko!A:A,0)</f>
        <v>4</v>
      </c>
      <c r="H25">
        <f>INDEX(Pistetaulukko!B:B,G25)</f>
        <v>25</v>
      </c>
      <c r="I25" t="e">
        <f>MATCH(D25,Pistetaulukko!D:D,0)</f>
        <v>#N/A</v>
      </c>
      <c r="J25" t="e">
        <f>INDEX(Pistetaulukko!E:E,I25)</f>
        <v>#N/A</v>
      </c>
      <c r="K25" s="2">
        <f>IF(Taulukko2[[#This Row],[Laji]]="XCO",Taulukko2[[#This Row],[PstXCO]],Taulukko2[[#This Row],[PstXCC]])</f>
        <v>25</v>
      </c>
    </row>
    <row r="26" spans="1:12" ht="15" customHeight="1" x14ac:dyDescent="0.35">
      <c r="A26" t="s">
        <v>547</v>
      </c>
      <c r="B26" t="s">
        <v>639</v>
      </c>
      <c r="C26" t="s">
        <v>682</v>
      </c>
      <c r="D26">
        <v>3</v>
      </c>
      <c r="E26" t="s">
        <v>68</v>
      </c>
      <c r="F26" t="str">
        <f>INDEX(Taulukko25[Seura],MATCH(E26,Taulukko25[Nimi],0))</f>
        <v>ProMTB</v>
      </c>
      <c r="G26">
        <f>MATCH(D26,Pistetaulukko!A:A,0)</f>
        <v>5</v>
      </c>
      <c r="H26">
        <f>INDEX(Pistetaulukko!B:B,G26)</f>
        <v>21</v>
      </c>
      <c r="I26" t="e">
        <f>MATCH(D26,Pistetaulukko!D:D,0)</f>
        <v>#N/A</v>
      </c>
      <c r="J26" t="e">
        <f>INDEX(Pistetaulukko!E:E,I26)</f>
        <v>#N/A</v>
      </c>
      <c r="K26" s="2">
        <f>IF(Taulukko2[[#This Row],[Laji]]="XCO",Taulukko2[[#This Row],[PstXCO]],Taulukko2[[#This Row],[PstXCC]])</f>
        <v>21</v>
      </c>
    </row>
    <row r="27" spans="1:12" ht="15" customHeight="1" x14ac:dyDescent="0.35">
      <c r="A27" t="s">
        <v>547</v>
      </c>
      <c r="B27" t="s">
        <v>639</v>
      </c>
      <c r="C27" t="s">
        <v>682</v>
      </c>
      <c r="D27">
        <v>4</v>
      </c>
      <c r="E27" t="s">
        <v>564</v>
      </c>
      <c r="F27" t="str">
        <f>INDEX(Taulukko25[Seura],MATCH(E27,Taulukko25[Nimi],0))</f>
        <v>CCH</v>
      </c>
      <c r="G27">
        <f>MATCH(D27,Pistetaulukko!A:A,0)</f>
        <v>6</v>
      </c>
      <c r="H27">
        <f>INDEX(Pistetaulukko!B:B,G27)</f>
        <v>18</v>
      </c>
      <c r="I27" t="e">
        <f>MATCH(D27,Pistetaulukko!D:D,0)</f>
        <v>#N/A</v>
      </c>
      <c r="J27" t="e">
        <f>INDEX(Pistetaulukko!E:E,I27)</f>
        <v>#N/A</v>
      </c>
      <c r="K27" s="2">
        <f>IF(Taulukko2[[#This Row],[Laji]]="XCO",Taulukko2[[#This Row],[PstXCO]],Taulukko2[[#This Row],[PstXCC]])</f>
        <v>18</v>
      </c>
    </row>
    <row r="28" spans="1:12" ht="15" customHeight="1" x14ac:dyDescent="0.35">
      <c r="A28" t="s">
        <v>547</v>
      </c>
      <c r="B28" t="s">
        <v>639</v>
      </c>
      <c r="C28" t="s">
        <v>553</v>
      </c>
      <c r="D28">
        <v>1</v>
      </c>
      <c r="E28" t="s">
        <v>556</v>
      </c>
      <c r="F28" t="str">
        <f>INDEX(Taulukko25[Seura],MATCH(E28,Taulukko25[Nimi],0))</f>
        <v>Rideep</v>
      </c>
      <c r="G28">
        <f>MATCH(D28,Pistetaulukko!A:A,0)</f>
        <v>3</v>
      </c>
      <c r="H28">
        <f>INDEX(Pistetaulukko!B:B,G28)</f>
        <v>30</v>
      </c>
      <c r="I28" t="e">
        <f>MATCH(D28,Pistetaulukko!D:D,0)</f>
        <v>#N/A</v>
      </c>
      <c r="J28" t="e">
        <f>INDEX(Pistetaulukko!E:E,I28)</f>
        <v>#N/A</v>
      </c>
      <c r="K28" s="2">
        <f>IF(Taulukko2[[#This Row],[Laji]]="XCO",Taulukko2[[#This Row],[PstXCO]],Taulukko2[[#This Row],[PstXCC]])</f>
        <v>30</v>
      </c>
    </row>
    <row r="29" spans="1:12" ht="15" customHeight="1" x14ac:dyDescent="0.35">
      <c r="A29" t="s">
        <v>547</v>
      </c>
      <c r="B29" t="s">
        <v>639</v>
      </c>
      <c r="C29" t="s">
        <v>553</v>
      </c>
      <c r="D29">
        <v>2</v>
      </c>
      <c r="E29" t="s">
        <v>558</v>
      </c>
      <c r="F29" t="str">
        <f>INDEX(Taulukko25[Seura],MATCH(E29,Taulukko25[Nimi],0))</f>
        <v>RaKe</v>
      </c>
      <c r="G29">
        <f>MATCH(D29,Pistetaulukko!A:A,0)</f>
        <v>4</v>
      </c>
      <c r="H29">
        <f>INDEX(Pistetaulukko!B:B,G29)</f>
        <v>25</v>
      </c>
      <c r="I29" t="e">
        <f>MATCH(D29,Pistetaulukko!D:D,0)</f>
        <v>#N/A</v>
      </c>
      <c r="J29" t="e">
        <f>INDEX(Pistetaulukko!E:E,I29)</f>
        <v>#N/A</v>
      </c>
      <c r="K29" s="2">
        <f>IF(Taulukko2[[#This Row],[Laji]]="XCO",Taulukko2[[#This Row],[PstXCO]],Taulukko2[[#This Row],[PstXCC]])</f>
        <v>25</v>
      </c>
    </row>
    <row r="30" spans="1:12" ht="15" customHeight="1" x14ac:dyDescent="0.35">
      <c r="A30" t="s">
        <v>547</v>
      </c>
      <c r="B30" t="s">
        <v>639</v>
      </c>
      <c r="C30" t="s">
        <v>646</v>
      </c>
      <c r="D30">
        <v>1</v>
      </c>
      <c r="E30" t="s">
        <v>209</v>
      </c>
      <c r="F30" t="str">
        <f>INDEX(Taulukko25[Seura],MATCH(E30,Taulukko25[Nimi],0))</f>
        <v>OTC</v>
      </c>
      <c r="G30">
        <f>MATCH(D30,Pistetaulukko!A:A,0)</f>
        <v>3</v>
      </c>
      <c r="H30">
        <f>INDEX(Pistetaulukko!B:B,G30)</f>
        <v>30</v>
      </c>
      <c r="I30" t="e">
        <f>MATCH(D30,Pistetaulukko!D:D,0)</f>
        <v>#N/A</v>
      </c>
      <c r="J30" t="e">
        <f>INDEX(Pistetaulukko!E:E,I30)</f>
        <v>#N/A</v>
      </c>
      <c r="K30" s="2">
        <f>IF(Taulukko2[[#This Row],[Laji]]="XCO",Taulukko2[[#This Row],[PstXCO]],Taulukko2[[#This Row],[PstXCC]])</f>
        <v>30</v>
      </c>
    </row>
    <row r="31" spans="1:12" ht="15" customHeight="1" x14ac:dyDescent="0.35">
      <c r="A31" t="s">
        <v>547</v>
      </c>
      <c r="B31" t="s">
        <v>639</v>
      </c>
      <c r="C31" t="s">
        <v>683</v>
      </c>
      <c r="D31">
        <v>1</v>
      </c>
      <c r="E31" t="s">
        <v>640</v>
      </c>
      <c r="F31" t="str">
        <f>INDEX(Taulukko25[Seura],MATCH(E31,Taulukko25[Nimi],0))</f>
        <v>RaKe / Team Evoc</v>
      </c>
      <c r="G31">
        <f>MATCH(D31,Pistetaulukko!A:A,0)</f>
        <v>3</v>
      </c>
      <c r="H31">
        <f>INDEX(Pistetaulukko!B:B,G31)</f>
        <v>30</v>
      </c>
      <c r="I31" t="e">
        <f>MATCH(D31,Pistetaulukko!D:D,0)</f>
        <v>#N/A</v>
      </c>
      <c r="J31" t="e">
        <f>INDEX(Pistetaulukko!E:E,I31)</f>
        <v>#N/A</v>
      </c>
      <c r="K31" s="2">
        <f>IF(Taulukko2[[#This Row],[Laji]]="XCO",Taulukko2[[#This Row],[PstXCO]],Taulukko2[[#This Row],[PstXCC]])</f>
        <v>30</v>
      </c>
    </row>
    <row r="32" spans="1:12" ht="15" customHeight="1" x14ac:dyDescent="0.35">
      <c r="A32" t="s">
        <v>547</v>
      </c>
      <c r="B32" t="s">
        <v>639</v>
      </c>
      <c r="C32" t="s">
        <v>683</v>
      </c>
      <c r="D32">
        <v>2</v>
      </c>
      <c r="E32" t="s">
        <v>569</v>
      </c>
      <c r="F32" t="str">
        <f>INDEX(Taulukko25[Seura],MATCH(E32,Taulukko25[Nimi],0))</f>
        <v>VlkMTB</v>
      </c>
      <c r="G32">
        <f>MATCH(D32,Pistetaulukko!A:A,0)</f>
        <v>4</v>
      </c>
      <c r="H32">
        <f>INDEX(Pistetaulukko!B:B,G32)</f>
        <v>25</v>
      </c>
      <c r="I32" t="e">
        <f>MATCH(D32,Pistetaulukko!D:D,0)</f>
        <v>#N/A</v>
      </c>
      <c r="J32" t="e">
        <f>INDEX(Pistetaulukko!E:E,I32)</f>
        <v>#N/A</v>
      </c>
      <c r="K32" s="2">
        <f>IF(Taulukko2[[#This Row],[Laji]]="XCO",Taulukko2[[#This Row],[PstXCO]],Taulukko2[[#This Row],[PstXCC]])</f>
        <v>25</v>
      </c>
    </row>
    <row r="33" spans="1:11" ht="15" customHeight="1" x14ac:dyDescent="0.35">
      <c r="A33" t="s">
        <v>547</v>
      </c>
      <c r="B33" t="s">
        <v>639</v>
      </c>
      <c r="C33" t="s">
        <v>683</v>
      </c>
      <c r="D33">
        <v>3</v>
      </c>
      <c r="E33" t="s">
        <v>626</v>
      </c>
      <c r="F33" t="str">
        <f>INDEX(Taulukko25[Seura],MATCH(E33,Taulukko25[Nimi],0))</f>
        <v>Akilles</v>
      </c>
      <c r="G33">
        <f>MATCH(D33,Pistetaulukko!A:A,0)</f>
        <v>5</v>
      </c>
      <c r="H33">
        <f>INDEX(Pistetaulukko!B:B,G33)</f>
        <v>21</v>
      </c>
      <c r="I33" t="e">
        <f>MATCH(D33,Pistetaulukko!D:D,0)</f>
        <v>#N/A</v>
      </c>
      <c r="J33" t="e">
        <f>INDEX(Pistetaulukko!E:E,I33)</f>
        <v>#N/A</v>
      </c>
      <c r="K33" s="2">
        <f>IF(Taulukko2[[#This Row],[Laji]]="XCO",Taulukko2[[#This Row],[PstXCO]],Taulukko2[[#This Row],[PstXCC]])</f>
        <v>21</v>
      </c>
    </row>
    <row r="34" spans="1:11" ht="15" customHeight="1" x14ac:dyDescent="0.35">
      <c r="A34" t="s">
        <v>547</v>
      </c>
      <c r="B34" t="s">
        <v>639</v>
      </c>
      <c r="C34" t="s">
        <v>683</v>
      </c>
      <c r="D34">
        <v>4</v>
      </c>
      <c r="E34" t="s">
        <v>48</v>
      </c>
      <c r="F34" t="str">
        <f>INDEX(Taulukko25[Seura],MATCH(E34,Taulukko25[Nimi],0))</f>
        <v>TVC</v>
      </c>
      <c r="G34">
        <f>MATCH(D34,Pistetaulukko!A:A,0)</f>
        <v>6</v>
      </c>
      <c r="H34">
        <f>INDEX(Pistetaulukko!B:B,G34)</f>
        <v>18</v>
      </c>
      <c r="I34" t="e">
        <f>MATCH(D34,Pistetaulukko!D:D,0)</f>
        <v>#N/A</v>
      </c>
      <c r="J34" t="e">
        <f>INDEX(Pistetaulukko!E:E,I34)</f>
        <v>#N/A</v>
      </c>
      <c r="K34" s="2">
        <f>IF(Taulukko2[[#This Row],[Laji]]="XCO",Taulukko2[[#This Row],[PstXCO]],Taulukko2[[#This Row],[PstXCC]])</f>
        <v>18</v>
      </c>
    </row>
    <row r="35" spans="1:11" ht="15" customHeight="1" x14ac:dyDescent="0.35">
      <c r="A35" t="s">
        <v>547</v>
      </c>
      <c r="B35" t="s">
        <v>639</v>
      </c>
      <c r="C35" t="s">
        <v>683</v>
      </c>
      <c r="D35">
        <v>5</v>
      </c>
      <c r="E35" t="s">
        <v>576</v>
      </c>
      <c r="F35" t="str">
        <f>INDEX(Taulukko25[Seura],MATCH(E35,Taulukko25[Nimi],0))</f>
        <v>IU</v>
      </c>
      <c r="G35">
        <f>MATCH(D35,Pistetaulukko!A:A,0)</f>
        <v>7</v>
      </c>
      <c r="H35">
        <f>INDEX(Pistetaulukko!B:B,G35)</f>
        <v>16</v>
      </c>
      <c r="I35" t="e">
        <f>MATCH(D35,Pistetaulukko!D:D,0)</f>
        <v>#N/A</v>
      </c>
      <c r="J35" t="e">
        <f>INDEX(Pistetaulukko!E:E,I35)</f>
        <v>#N/A</v>
      </c>
      <c r="K35" s="2">
        <f>IF(Taulukko2[[#This Row],[Laji]]="XCO",Taulukko2[[#This Row],[PstXCO]],Taulukko2[[#This Row],[PstXCC]])</f>
        <v>16</v>
      </c>
    </row>
    <row r="36" spans="1:11" ht="15" customHeight="1" x14ac:dyDescent="0.35">
      <c r="A36" t="s">
        <v>547</v>
      </c>
      <c r="B36" t="s">
        <v>639</v>
      </c>
      <c r="C36" t="s">
        <v>573</v>
      </c>
      <c r="D36">
        <v>1</v>
      </c>
      <c r="E36" t="s">
        <v>641</v>
      </c>
      <c r="F36" t="str">
        <f>INDEX(Taulukko25[Seura],MATCH(E36,Taulukko25[Nimi],0))</f>
        <v>ProMTB</v>
      </c>
      <c r="G36">
        <f>MATCH(D36,Pistetaulukko!A:A,0)</f>
        <v>3</v>
      </c>
      <c r="H36">
        <f>INDEX(Pistetaulukko!B:B,G36)</f>
        <v>30</v>
      </c>
      <c r="I36" t="e">
        <f>MATCH(D36,Pistetaulukko!D:D,0)</f>
        <v>#N/A</v>
      </c>
      <c r="J36" t="e">
        <f>INDEX(Pistetaulukko!E:E,I36)</f>
        <v>#N/A</v>
      </c>
      <c r="K36" s="2">
        <f>IF(Taulukko2[[#This Row],[Laji]]="XCO",Taulukko2[[#This Row],[PstXCO]],Taulukko2[[#This Row],[PstXCC]])</f>
        <v>30</v>
      </c>
    </row>
    <row r="37" spans="1:11" ht="15" customHeight="1" x14ac:dyDescent="0.35">
      <c r="A37" t="s">
        <v>547</v>
      </c>
      <c r="B37" t="s">
        <v>639</v>
      </c>
      <c r="C37" t="s">
        <v>573</v>
      </c>
      <c r="D37">
        <v>2</v>
      </c>
      <c r="E37" t="s">
        <v>631</v>
      </c>
      <c r="F37" t="str">
        <f>INDEX(Taulukko25[Seura],MATCH(E37,Taulukko25[Nimi],0))</f>
        <v>TY</v>
      </c>
      <c r="G37">
        <f>MATCH(D37,Pistetaulukko!A:A,0)</f>
        <v>4</v>
      </c>
      <c r="H37">
        <f>INDEX(Pistetaulukko!B:B,G37)</f>
        <v>25</v>
      </c>
      <c r="I37" t="e">
        <f>MATCH(D37,Pistetaulukko!D:D,0)</f>
        <v>#N/A</v>
      </c>
      <c r="J37" t="e">
        <f>INDEX(Pistetaulukko!E:E,I37)</f>
        <v>#N/A</v>
      </c>
      <c r="K37" s="2">
        <f>IF(Taulukko2[[#This Row],[Laji]]="XCO",Taulukko2[[#This Row],[PstXCO]],Taulukko2[[#This Row],[PstXCC]])</f>
        <v>25</v>
      </c>
    </row>
    <row r="38" spans="1:11" ht="15" customHeight="1" x14ac:dyDescent="0.35">
      <c r="A38" t="s">
        <v>547</v>
      </c>
      <c r="B38" t="s">
        <v>639</v>
      </c>
      <c r="C38" t="s">
        <v>584</v>
      </c>
      <c r="D38">
        <v>1</v>
      </c>
      <c r="E38" t="s">
        <v>586</v>
      </c>
      <c r="F38" t="str">
        <f>INDEX(Taulukko25[Seura],MATCH(E38,Taulukko25[Nimi],0))</f>
        <v>VlkMTB</v>
      </c>
      <c r="G38">
        <f>MATCH(D38,Pistetaulukko!A:A,0)</f>
        <v>3</v>
      </c>
      <c r="H38">
        <f>INDEX(Pistetaulukko!B:B,G38)</f>
        <v>30</v>
      </c>
      <c r="I38" t="e">
        <f>MATCH(D38,Pistetaulukko!D:D,0)</f>
        <v>#N/A</v>
      </c>
      <c r="J38" t="e">
        <f>INDEX(Pistetaulukko!E:E,I38)</f>
        <v>#N/A</v>
      </c>
      <c r="K38" s="2">
        <f>IF(Taulukko2[[#This Row],[Laji]]="XCO",Taulukko2[[#This Row],[PstXCO]],Taulukko2[[#This Row],[PstXCC]])</f>
        <v>30</v>
      </c>
    </row>
    <row r="39" spans="1:11" ht="15" customHeight="1" x14ac:dyDescent="0.35">
      <c r="A39" t="s">
        <v>547</v>
      </c>
      <c r="B39" t="s">
        <v>639</v>
      </c>
      <c r="C39" t="s">
        <v>645</v>
      </c>
      <c r="D39">
        <v>1</v>
      </c>
      <c r="E39" t="s">
        <v>439</v>
      </c>
      <c r="F39" t="str">
        <f>INDEX(Taulukko25[Seura],MATCH(E39,Taulukko25[Nimi],0))</f>
        <v>Larsmo IF</v>
      </c>
      <c r="G39">
        <f>MATCH(D39,Pistetaulukko!A:A,0)</f>
        <v>3</v>
      </c>
      <c r="H39">
        <f>INDEX(Pistetaulukko!B:B,G39)</f>
        <v>30</v>
      </c>
      <c r="I39" t="e">
        <f>MATCH(D39,Pistetaulukko!D:D,0)</f>
        <v>#N/A</v>
      </c>
      <c r="J39" t="e">
        <f>INDEX(Pistetaulukko!E:E,I39)</f>
        <v>#N/A</v>
      </c>
      <c r="K39" s="2">
        <f>IF(Taulukko2[[#This Row],[Laji]]="XCO",Taulukko2[[#This Row],[PstXCO]],Taulukko2[[#This Row],[PstXCC]])</f>
        <v>30</v>
      </c>
    </row>
    <row r="40" spans="1:11" ht="15" customHeight="1" x14ac:dyDescent="0.35">
      <c r="A40" t="s">
        <v>547</v>
      </c>
      <c r="B40" t="s">
        <v>639</v>
      </c>
      <c r="C40" t="s">
        <v>645</v>
      </c>
      <c r="D40">
        <v>2</v>
      </c>
      <c r="E40" t="s">
        <v>70</v>
      </c>
      <c r="F40" t="str">
        <f>INDEX(Taulukko25[Seura],MATCH(E40,Taulukko25[Nimi],0))</f>
        <v xml:space="preserve">LrPy </v>
      </c>
      <c r="G40">
        <f>MATCH(D40,Pistetaulukko!A:A,0)</f>
        <v>4</v>
      </c>
      <c r="H40">
        <f>INDEX(Pistetaulukko!B:B,G40)</f>
        <v>25</v>
      </c>
      <c r="I40" t="e">
        <f>MATCH(D40,Pistetaulukko!D:D,0)</f>
        <v>#N/A</v>
      </c>
      <c r="J40" t="e">
        <f>INDEX(Pistetaulukko!E:E,I40)</f>
        <v>#N/A</v>
      </c>
      <c r="K40" s="2">
        <f>IF(Taulukko2[[#This Row],[Laji]]="XCO",Taulukko2[[#This Row],[PstXCO]],Taulukko2[[#This Row],[PstXCC]])</f>
        <v>25</v>
      </c>
    </row>
    <row r="41" spans="1:11" ht="15" customHeight="1" x14ac:dyDescent="0.35">
      <c r="A41" t="s">
        <v>547</v>
      </c>
      <c r="B41" t="s">
        <v>639</v>
      </c>
      <c r="C41" t="s">
        <v>645</v>
      </c>
      <c r="D41">
        <v>3</v>
      </c>
      <c r="E41" t="s">
        <v>642</v>
      </c>
      <c r="F41" t="str">
        <f>INDEX(Taulukko25[Seura],MATCH(E41,Taulukko25[Nimi],0))</f>
        <v>GIF / Prorog MTB Team</v>
      </c>
      <c r="G41">
        <f>MATCH(D41,Pistetaulukko!A:A,0)</f>
        <v>5</v>
      </c>
      <c r="H41">
        <f>INDEX(Pistetaulukko!B:B,G41)</f>
        <v>21</v>
      </c>
      <c r="I41" t="e">
        <f>MATCH(D41,Pistetaulukko!D:D,0)</f>
        <v>#N/A</v>
      </c>
      <c r="J41" t="e">
        <f>INDEX(Pistetaulukko!E:E,I41)</f>
        <v>#N/A</v>
      </c>
      <c r="K41" s="2">
        <f>IF(Taulukko2[[#This Row],[Laji]]="XCO",Taulukko2[[#This Row],[PstXCO]],Taulukko2[[#This Row],[PstXCC]])</f>
        <v>21</v>
      </c>
    </row>
    <row r="42" spans="1:11" ht="15" customHeight="1" x14ac:dyDescent="0.35">
      <c r="A42" t="s">
        <v>547</v>
      </c>
      <c r="B42" t="s">
        <v>639</v>
      </c>
      <c r="C42" t="s">
        <v>645</v>
      </c>
      <c r="D42">
        <v>4</v>
      </c>
      <c r="E42" t="s">
        <v>71</v>
      </c>
      <c r="F42" t="str">
        <f>INDEX(Taulukko25[Seura],MATCH(E42,Taulukko25[Nimi],0))</f>
        <v>Rideep</v>
      </c>
      <c r="G42">
        <f>MATCH(D42,Pistetaulukko!A:A,0)</f>
        <v>6</v>
      </c>
      <c r="H42">
        <f>INDEX(Pistetaulukko!B:B,G42)</f>
        <v>18</v>
      </c>
      <c r="I42" t="e">
        <f>MATCH(D42,Pistetaulukko!D:D,0)</f>
        <v>#N/A</v>
      </c>
      <c r="J42" t="e">
        <f>INDEX(Pistetaulukko!E:E,I42)</f>
        <v>#N/A</v>
      </c>
      <c r="K42" s="2">
        <f>IF(Taulukko2[[#This Row],[Laji]]="XCO",Taulukko2[[#This Row],[PstXCO]],Taulukko2[[#This Row],[PstXCC]])</f>
        <v>18</v>
      </c>
    </row>
    <row r="43" spans="1:11" ht="15" customHeight="1" x14ac:dyDescent="0.35">
      <c r="A43" t="s">
        <v>547</v>
      </c>
      <c r="B43" t="s">
        <v>639</v>
      </c>
      <c r="C43" t="s">
        <v>645</v>
      </c>
      <c r="D43">
        <v>5</v>
      </c>
      <c r="E43" t="s">
        <v>669</v>
      </c>
      <c r="F43" t="str">
        <f>INDEX(Taulukko25[Seura],MATCH(E43,Taulukko25[Nimi],0))</f>
        <v>HyPy</v>
      </c>
      <c r="G43">
        <f>MATCH(D43,Pistetaulukko!A:A,0)</f>
        <v>7</v>
      </c>
      <c r="H43">
        <f>INDEX(Pistetaulukko!B:B,G43)</f>
        <v>16</v>
      </c>
      <c r="I43" t="e">
        <f>MATCH(D43,Pistetaulukko!D:D,0)</f>
        <v>#N/A</v>
      </c>
      <c r="J43" t="e">
        <f>INDEX(Pistetaulukko!E:E,I43)</f>
        <v>#N/A</v>
      </c>
      <c r="K43" s="2">
        <f>IF(Taulukko2[[#This Row],[Laji]]="XCO",Taulukko2[[#This Row],[PstXCO]],Taulukko2[[#This Row],[PstXCC]])</f>
        <v>16</v>
      </c>
    </row>
    <row r="44" spans="1:11" ht="15" customHeight="1" x14ac:dyDescent="0.35">
      <c r="A44" t="s">
        <v>547</v>
      </c>
      <c r="B44" t="s">
        <v>639</v>
      </c>
      <c r="C44" t="s">
        <v>645</v>
      </c>
      <c r="D44">
        <v>6</v>
      </c>
      <c r="E44" t="s">
        <v>206</v>
      </c>
      <c r="F44" t="str">
        <f>INDEX(Taulukko25[Seura],MATCH(E44,Taulukko25[Nimi],0))</f>
        <v>OTC</v>
      </c>
      <c r="G44">
        <f>MATCH(D44,Pistetaulukko!A:A,0)</f>
        <v>8</v>
      </c>
      <c r="H44">
        <f>INDEX(Pistetaulukko!B:B,G44)</f>
        <v>14</v>
      </c>
      <c r="I44" t="e">
        <f>MATCH(D44,Pistetaulukko!D:D,0)</f>
        <v>#N/A</v>
      </c>
      <c r="J44" t="e">
        <f>INDEX(Pistetaulukko!E:E,I44)</f>
        <v>#N/A</v>
      </c>
      <c r="K44" s="2">
        <f>IF(Taulukko2[[#This Row],[Laji]]="XCO",Taulukko2[[#This Row],[PstXCO]],Taulukko2[[#This Row],[PstXCC]])</f>
        <v>14</v>
      </c>
    </row>
    <row r="45" spans="1:11" ht="15" customHeight="1" x14ac:dyDescent="0.35">
      <c r="A45" t="s">
        <v>548</v>
      </c>
      <c r="B45" t="s">
        <v>651</v>
      </c>
      <c r="C45" t="s">
        <v>682</v>
      </c>
      <c r="D45">
        <v>1</v>
      </c>
      <c r="E45" t="s">
        <v>560</v>
      </c>
      <c r="F45" t="str">
        <f>INDEX(Taulukko25[Seura],MATCH(E45,Taulukko25[Nimi],0))</f>
        <v>OP-P</v>
      </c>
      <c r="G45">
        <f>MATCH(D45,Pistetaulukko!A:A,0)</f>
        <v>3</v>
      </c>
      <c r="H45">
        <f>INDEX(Pistetaulukko!B:B,G45)</f>
        <v>30</v>
      </c>
      <c r="I45" t="e">
        <f>MATCH(D45,Pistetaulukko!D:D,0)</f>
        <v>#N/A</v>
      </c>
      <c r="J45" t="e">
        <f>INDEX(Pistetaulukko!E:E,I45)</f>
        <v>#N/A</v>
      </c>
      <c r="K45" s="2" t="e">
        <f>IF(Taulukko2[[#This Row],[Laji]]="XCO",Taulukko2[[#This Row],[PstXCO]],Taulukko2[[#This Row],[PstXCC]])</f>
        <v>#N/A</v>
      </c>
    </row>
    <row r="46" spans="1:11" ht="15" customHeight="1" x14ac:dyDescent="0.35">
      <c r="A46" t="s">
        <v>548</v>
      </c>
      <c r="B46" t="s">
        <v>651</v>
      </c>
      <c r="C46" t="s">
        <v>683</v>
      </c>
      <c r="D46">
        <v>1</v>
      </c>
      <c r="E46" t="s">
        <v>626</v>
      </c>
      <c r="F46" t="str">
        <f>INDEX(Taulukko25[Seura],MATCH(E46,Taulukko25[Nimi],0))</f>
        <v>Akilles</v>
      </c>
      <c r="G46">
        <f>MATCH(D46,Pistetaulukko!A:A,0)</f>
        <v>3</v>
      </c>
      <c r="H46">
        <f>INDEX(Pistetaulukko!B:B,G46)</f>
        <v>30</v>
      </c>
      <c r="I46" t="e">
        <f>MATCH(D46,Pistetaulukko!D:D,0)</f>
        <v>#N/A</v>
      </c>
      <c r="J46" t="e">
        <f>INDEX(Pistetaulukko!E:E,I46)</f>
        <v>#N/A</v>
      </c>
      <c r="K46" s="2" t="e">
        <f>IF(Taulukko2[[#This Row],[Laji]]="XCO",Taulukko2[[#This Row],[PstXCO]],Taulukko2[[#This Row],[PstXCC]])</f>
        <v>#N/A</v>
      </c>
    </row>
    <row r="47" spans="1:11" ht="15" customHeight="1" x14ac:dyDescent="0.35">
      <c r="A47" t="s">
        <v>548</v>
      </c>
      <c r="B47" t="s">
        <v>651</v>
      </c>
      <c r="C47" t="s">
        <v>683</v>
      </c>
      <c r="D47">
        <v>2</v>
      </c>
      <c r="E47" t="s">
        <v>610</v>
      </c>
      <c r="F47" t="str">
        <f>INDEX(Taulukko25[Seura],MATCH(E47,Taulukko25[Nimi],0))</f>
        <v>PyöRi</v>
      </c>
      <c r="G47">
        <f>MATCH(D47,Pistetaulukko!A:A,0)</f>
        <v>4</v>
      </c>
      <c r="H47">
        <f>INDEX(Pistetaulukko!B:B,G47)</f>
        <v>25</v>
      </c>
      <c r="I47" t="e">
        <f>MATCH(D47,Pistetaulukko!D:D,0)</f>
        <v>#N/A</v>
      </c>
      <c r="J47" t="e">
        <f>INDEX(Pistetaulukko!E:E,I47)</f>
        <v>#N/A</v>
      </c>
      <c r="K47" s="2" t="e">
        <f>IF(Taulukko2[[#This Row],[Laji]]="XCO",Taulukko2[[#This Row],[PstXCO]],Taulukko2[[#This Row],[PstXCC]])</f>
        <v>#N/A</v>
      </c>
    </row>
    <row r="48" spans="1:11" ht="15" customHeight="1" x14ac:dyDescent="0.35">
      <c r="A48" t="s">
        <v>548</v>
      </c>
      <c r="B48" t="s">
        <v>651</v>
      </c>
      <c r="C48" t="s">
        <v>683</v>
      </c>
      <c r="D48">
        <v>3</v>
      </c>
      <c r="E48" t="s">
        <v>652</v>
      </c>
      <c r="F48" t="str">
        <f>INDEX(Taulukko25[Seura],MATCH(E48,Taulukko25[Nimi],0))</f>
        <v>CC Ilves</v>
      </c>
      <c r="G48">
        <f>MATCH(D48,Pistetaulukko!A:A,0)</f>
        <v>5</v>
      </c>
      <c r="H48">
        <f>INDEX(Pistetaulukko!B:B,G48)</f>
        <v>21</v>
      </c>
      <c r="I48" t="e">
        <f>MATCH(D48,Pistetaulukko!D:D,0)</f>
        <v>#N/A</v>
      </c>
      <c r="J48" t="e">
        <f>INDEX(Pistetaulukko!E:E,I48)</f>
        <v>#N/A</v>
      </c>
      <c r="K48" s="2" t="e">
        <f>IF(Taulukko2[[#This Row],[Laji]]="XCO",Taulukko2[[#This Row],[PstXCO]],Taulukko2[[#This Row],[PstXCC]])</f>
        <v>#N/A</v>
      </c>
    </row>
    <row r="49" spans="1:11" ht="15" customHeight="1" x14ac:dyDescent="0.35">
      <c r="A49" t="s">
        <v>548</v>
      </c>
      <c r="B49" t="s">
        <v>651</v>
      </c>
      <c r="C49" t="s">
        <v>646</v>
      </c>
      <c r="D49">
        <v>1</v>
      </c>
      <c r="E49" t="s">
        <v>68</v>
      </c>
      <c r="F49" t="str">
        <f>INDEX(Taulukko25[Seura],MATCH(E49,Taulukko25[Nimi],0))</f>
        <v>ProMTB</v>
      </c>
      <c r="G49">
        <f>MATCH(D49,Pistetaulukko!A:A,0)</f>
        <v>3</v>
      </c>
      <c r="H49">
        <f>INDEX(Pistetaulukko!B:B,G49)</f>
        <v>30</v>
      </c>
      <c r="I49" t="e">
        <f>MATCH(D49,Pistetaulukko!D:D,0)</f>
        <v>#N/A</v>
      </c>
      <c r="J49" t="e">
        <f>INDEX(Pistetaulukko!E:E,I49)</f>
        <v>#N/A</v>
      </c>
      <c r="K49" s="2" t="e">
        <f>IF(Taulukko2[[#This Row],[Laji]]="XCO",Taulukko2[[#This Row],[PstXCO]],Taulukko2[[#This Row],[PstXCC]])</f>
        <v>#N/A</v>
      </c>
    </row>
    <row r="50" spans="1:11" ht="15" customHeight="1" x14ac:dyDescent="0.35">
      <c r="A50" t="s">
        <v>548</v>
      </c>
      <c r="B50" t="s">
        <v>651</v>
      </c>
      <c r="C50" t="s">
        <v>646</v>
      </c>
      <c r="D50">
        <v>2</v>
      </c>
      <c r="E50" t="s">
        <v>189</v>
      </c>
      <c r="F50" t="str">
        <f>INDEX(Taulukko25[Seura],MATCH(E50,Taulukko25[Nimi],0))</f>
        <v>Ei SP jäsenseura</v>
      </c>
      <c r="G50">
        <f>MATCH(D50,Pistetaulukko!A:A,0)</f>
        <v>4</v>
      </c>
      <c r="H50">
        <f>INDEX(Pistetaulukko!B:B,G50)</f>
        <v>25</v>
      </c>
      <c r="I50" t="e">
        <f>MATCH(D50,Pistetaulukko!D:D,0)</f>
        <v>#N/A</v>
      </c>
      <c r="J50" t="e">
        <f>INDEX(Pistetaulukko!E:E,I50)</f>
        <v>#N/A</v>
      </c>
      <c r="K50" s="2" t="e">
        <f>IF(Taulukko2[[#This Row],[Laji]]="XCO",Taulukko2[[#This Row],[PstXCO]],Taulukko2[[#This Row],[PstXCC]])</f>
        <v>#N/A</v>
      </c>
    </row>
    <row r="51" spans="1:11" ht="15" customHeight="1" x14ac:dyDescent="0.35">
      <c r="A51" t="s">
        <v>548</v>
      </c>
      <c r="B51" t="s">
        <v>651</v>
      </c>
      <c r="C51" t="s">
        <v>646</v>
      </c>
      <c r="D51">
        <v>3</v>
      </c>
      <c r="E51" t="s">
        <v>209</v>
      </c>
      <c r="F51" t="str">
        <f>INDEX(Taulukko25[Seura],MATCH(E51,Taulukko25[Nimi],0))</f>
        <v>OTC</v>
      </c>
      <c r="G51">
        <f>MATCH(D51,Pistetaulukko!A:A,0)</f>
        <v>5</v>
      </c>
      <c r="H51">
        <f>INDEX(Pistetaulukko!B:B,G51)</f>
        <v>21</v>
      </c>
      <c r="I51" t="e">
        <f>MATCH(D51,Pistetaulukko!D:D,0)</f>
        <v>#N/A</v>
      </c>
      <c r="J51" t="e">
        <f>INDEX(Pistetaulukko!E:E,I51)</f>
        <v>#N/A</v>
      </c>
      <c r="K51" s="2" t="e">
        <f>IF(Taulukko2[[#This Row],[Laji]]="XCO",Taulukko2[[#This Row],[PstXCO]],Taulukko2[[#This Row],[PstXCC]])</f>
        <v>#N/A</v>
      </c>
    </row>
    <row r="52" spans="1:11" ht="15" customHeight="1" x14ac:dyDescent="0.35">
      <c r="A52" t="s">
        <v>548</v>
      </c>
      <c r="B52" t="s">
        <v>651</v>
      </c>
      <c r="C52" t="s">
        <v>646</v>
      </c>
      <c r="D52">
        <v>4</v>
      </c>
      <c r="E52" t="s">
        <v>190</v>
      </c>
      <c r="F52" t="str">
        <f>INDEX(Taulukko25[Seura],MATCH(E52,Taulukko25[Nimi],0))</f>
        <v>RMTB</v>
      </c>
      <c r="G52">
        <f>MATCH(D52,Pistetaulukko!A:A,0)</f>
        <v>6</v>
      </c>
      <c r="H52">
        <f>INDEX(Pistetaulukko!B:B,G52)</f>
        <v>18</v>
      </c>
      <c r="I52" t="e">
        <f>MATCH(D52,Pistetaulukko!D:D,0)</f>
        <v>#N/A</v>
      </c>
      <c r="J52" t="e">
        <f>INDEX(Pistetaulukko!E:E,I52)</f>
        <v>#N/A</v>
      </c>
      <c r="K52" s="2" t="e">
        <f>IF(Taulukko2[[#This Row],[Laji]]="XCO",Taulukko2[[#This Row],[PstXCO]],Taulukko2[[#This Row],[PstXCC]])</f>
        <v>#N/A</v>
      </c>
    </row>
    <row r="53" spans="1:11" ht="15" customHeight="1" x14ac:dyDescent="0.35">
      <c r="A53" t="s">
        <v>548</v>
      </c>
      <c r="B53" t="s">
        <v>651</v>
      </c>
      <c r="C53" t="s">
        <v>646</v>
      </c>
      <c r="D53">
        <v>5</v>
      </c>
      <c r="E53" t="s">
        <v>340</v>
      </c>
      <c r="F53" t="str">
        <f>INDEX(Taulukko25[Seura],MATCH(E53,Taulukko25[Nimi],0))</f>
        <v>KorsKa</v>
      </c>
      <c r="G53">
        <f>MATCH(D53,Pistetaulukko!A:A,0)</f>
        <v>7</v>
      </c>
      <c r="H53">
        <f>INDEX(Pistetaulukko!B:B,G53)</f>
        <v>16</v>
      </c>
      <c r="I53" t="e">
        <f>MATCH(D53,Pistetaulukko!D:D,0)</f>
        <v>#N/A</v>
      </c>
      <c r="J53" t="e">
        <f>INDEX(Pistetaulukko!E:E,I53)</f>
        <v>#N/A</v>
      </c>
      <c r="K53" s="2" t="e">
        <f>IF(Taulukko2[[#This Row],[Laji]]="XCO",Taulukko2[[#This Row],[PstXCO]],Taulukko2[[#This Row],[PstXCC]])</f>
        <v>#N/A</v>
      </c>
    </row>
    <row r="54" spans="1:11" ht="15" customHeight="1" x14ac:dyDescent="0.35">
      <c r="A54" t="s">
        <v>548</v>
      </c>
      <c r="B54" t="s">
        <v>651</v>
      </c>
      <c r="C54" t="s">
        <v>645</v>
      </c>
      <c r="D54">
        <v>1</v>
      </c>
      <c r="E54" t="s">
        <v>71</v>
      </c>
      <c r="F54" t="str">
        <f>INDEX(Taulukko25[Seura],MATCH(E54,Taulukko25[Nimi],0))</f>
        <v>Rideep</v>
      </c>
      <c r="G54">
        <f>MATCH(D54,Pistetaulukko!A:A,0)</f>
        <v>3</v>
      </c>
      <c r="H54">
        <f>INDEX(Pistetaulukko!B:B,G54)</f>
        <v>30</v>
      </c>
      <c r="I54" t="e">
        <f>MATCH(D54,Pistetaulukko!D:D,0)</f>
        <v>#N/A</v>
      </c>
      <c r="J54" t="e">
        <f>INDEX(Pistetaulukko!E:E,I54)</f>
        <v>#N/A</v>
      </c>
      <c r="K54" s="2" t="e">
        <f>IF(Taulukko2[[#This Row],[Laji]]="XCO",Taulukko2[[#This Row],[PstXCO]],Taulukko2[[#This Row],[PstXCC]])</f>
        <v>#N/A</v>
      </c>
    </row>
    <row r="55" spans="1:11" ht="15" customHeight="1" x14ac:dyDescent="0.35">
      <c r="A55" t="s">
        <v>548</v>
      </c>
      <c r="B55" t="s">
        <v>651</v>
      </c>
      <c r="C55" t="s">
        <v>645</v>
      </c>
      <c r="D55">
        <v>2</v>
      </c>
      <c r="E55" t="s">
        <v>70</v>
      </c>
      <c r="F55" t="str">
        <f>INDEX(Taulukko25[Seura],MATCH(E55,Taulukko25[Nimi],0))</f>
        <v xml:space="preserve">LrPy </v>
      </c>
      <c r="G55">
        <f>MATCH(D55,Pistetaulukko!A:A,0)</f>
        <v>4</v>
      </c>
      <c r="H55">
        <f>INDEX(Pistetaulukko!B:B,G55)</f>
        <v>25</v>
      </c>
      <c r="I55" t="e">
        <f>MATCH(D55,Pistetaulukko!D:D,0)</f>
        <v>#N/A</v>
      </c>
      <c r="J55" t="e">
        <f>INDEX(Pistetaulukko!E:E,I55)</f>
        <v>#N/A</v>
      </c>
      <c r="K55" s="2" t="e">
        <f>IF(Taulukko2[[#This Row],[Laji]]="XCO",Taulukko2[[#This Row],[PstXCO]],Taulukko2[[#This Row],[PstXCC]])</f>
        <v>#N/A</v>
      </c>
    </row>
    <row r="56" spans="1:11" ht="15" customHeight="1" x14ac:dyDescent="0.35">
      <c r="A56" t="s">
        <v>548</v>
      </c>
      <c r="B56" t="s">
        <v>651</v>
      </c>
      <c r="C56" t="s">
        <v>645</v>
      </c>
      <c r="D56">
        <v>3</v>
      </c>
      <c r="E56" t="s">
        <v>75</v>
      </c>
      <c r="F56" t="str">
        <f>INDEX(Taulukko25[Seura],MATCH(E56,Taulukko25[Nimi],0))</f>
        <v>HyPy</v>
      </c>
      <c r="G56">
        <f>MATCH(D56,Pistetaulukko!A:A,0)</f>
        <v>5</v>
      </c>
      <c r="H56">
        <f>INDEX(Pistetaulukko!B:B,G56)</f>
        <v>21</v>
      </c>
      <c r="I56" t="e">
        <f>MATCH(D56,Pistetaulukko!D:D,0)</f>
        <v>#N/A</v>
      </c>
      <c r="J56" t="e">
        <f>INDEX(Pistetaulukko!E:E,I56)</f>
        <v>#N/A</v>
      </c>
      <c r="K56" s="2" t="e">
        <f>IF(Taulukko2[[#This Row],[Laji]]="XCO",Taulukko2[[#This Row],[PstXCO]],Taulukko2[[#This Row],[PstXCC]])</f>
        <v>#N/A</v>
      </c>
    </row>
    <row r="57" spans="1:11" ht="15" customHeight="1" x14ac:dyDescent="0.35">
      <c r="A57" t="s">
        <v>548</v>
      </c>
      <c r="B57" t="s">
        <v>651</v>
      </c>
      <c r="C57" t="s">
        <v>553</v>
      </c>
      <c r="D57">
        <v>1</v>
      </c>
      <c r="E57" t="s">
        <v>653</v>
      </c>
      <c r="F57">
        <f>INDEX(Taulukko25[Seura],MATCH(E57,Taulukko25[Nimi],0))</f>
        <v>0</v>
      </c>
      <c r="G57">
        <f>MATCH(D57,Pistetaulukko!A:A,0)</f>
        <v>3</v>
      </c>
      <c r="H57">
        <f>INDEX(Pistetaulukko!B:B,G57)</f>
        <v>30</v>
      </c>
      <c r="I57" t="e">
        <f>MATCH(D57,Pistetaulukko!D:D,0)</f>
        <v>#N/A</v>
      </c>
      <c r="J57" t="e">
        <f>INDEX(Pistetaulukko!E:E,I57)</f>
        <v>#N/A</v>
      </c>
      <c r="K57" s="2" t="e">
        <f>IF(Taulukko2[[#This Row],[Laji]]="XCO",Taulukko2[[#This Row],[PstXCO]],Taulukko2[[#This Row],[PstXCC]])</f>
        <v>#N/A</v>
      </c>
    </row>
    <row r="58" spans="1:11" ht="15" customHeight="1" x14ac:dyDescent="0.35">
      <c r="A58" t="s">
        <v>548</v>
      </c>
      <c r="B58" t="s">
        <v>651</v>
      </c>
      <c r="C58" t="s">
        <v>553</v>
      </c>
      <c r="D58">
        <v>2</v>
      </c>
      <c r="E58" t="s">
        <v>554</v>
      </c>
      <c r="F58" t="str">
        <f>INDEX(Taulukko25[Seura],MATCH(E58,Taulukko25[Nimi],0))</f>
        <v>RMTB</v>
      </c>
      <c r="G58">
        <f>MATCH(D58,Pistetaulukko!A:A,0)</f>
        <v>4</v>
      </c>
      <c r="H58">
        <f>INDEX(Pistetaulukko!B:B,G58)</f>
        <v>25</v>
      </c>
      <c r="I58" t="e">
        <f>MATCH(D58,Pistetaulukko!D:D,0)</f>
        <v>#N/A</v>
      </c>
      <c r="J58" t="e">
        <f>INDEX(Pistetaulukko!E:E,I58)</f>
        <v>#N/A</v>
      </c>
      <c r="K58" s="2" t="e">
        <f>IF(Taulukko2[[#This Row],[Laji]]="XCO",Taulukko2[[#This Row],[PstXCO]],Taulukko2[[#This Row],[PstXCC]])</f>
        <v>#N/A</v>
      </c>
    </row>
    <row r="59" spans="1:11" ht="15" customHeight="1" x14ac:dyDescent="0.35">
      <c r="A59" t="s">
        <v>548</v>
      </c>
      <c r="B59" t="s">
        <v>651</v>
      </c>
      <c r="C59" t="s">
        <v>553</v>
      </c>
      <c r="D59">
        <v>3</v>
      </c>
      <c r="E59" t="s">
        <v>557</v>
      </c>
      <c r="F59" t="str">
        <f>INDEX(Taulukko25[Seura],MATCH(E59,Taulukko25[Nimi],0))</f>
        <v>KorsKa</v>
      </c>
      <c r="G59">
        <f>MATCH(D59,Pistetaulukko!A:A,0)</f>
        <v>5</v>
      </c>
      <c r="H59">
        <f>INDEX(Pistetaulukko!B:B,G59)</f>
        <v>21</v>
      </c>
      <c r="I59" t="e">
        <f>MATCH(D59,Pistetaulukko!D:D,0)</f>
        <v>#N/A</v>
      </c>
      <c r="J59" t="e">
        <f>INDEX(Pistetaulukko!E:E,I59)</f>
        <v>#N/A</v>
      </c>
      <c r="K59" s="2" t="e">
        <f>IF(Taulukko2[[#This Row],[Laji]]="XCO",Taulukko2[[#This Row],[PstXCO]],Taulukko2[[#This Row],[PstXCC]])</f>
        <v>#N/A</v>
      </c>
    </row>
    <row r="60" spans="1:11" ht="15" customHeight="1" x14ac:dyDescent="0.35">
      <c r="A60" t="s">
        <v>548</v>
      </c>
      <c r="B60" t="s">
        <v>651</v>
      </c>
      <c r="C60" t="s">
        <v>553</v>
      </c>
      <c r="D60">
        <v>4</v>
      </c>
      <c r="E60" t="s">
        <v>558</v>
      </c>
      <c r="F60" t="str">
        <f>INDEX(Taulukko25[Seura],MATCH(E60,Taulukko25[Nimi],0))</f>
        <v>RaKe</v>
      </c>
      <c r="G60">
        <f>MATCH(D60,Pistetaulukko!A:A,0)</f>
        <v>6</v>
      </c>
      <c r="H60">
        <f>INDEX(Pistetaulukko!B:B,G60)</f>
        <v>18</v>
      </c>
      <c r="I60" t="e">
        <f>MATCH(D60,Pistetaulukko!D:D,0)</f>
        <v>#N/A</v>
      </c>
      <c r="J60" t="e">
        <f>INDEX(Pistetaulukko!E:E,I60)</f>
        <v>#N/A</v>
      </c>
      <c r="K60" s="2" t="e">
        <f>IF(Taulukko2[[#This Row],[Laji]]="XCO",Taulukko2[[#This Row],[PstXCO]],Taulukko2[[#This Row],[PstXCC]])</f>
        <v>#N/A</v>
      </c>
    </row>
    <row r="61" spans="1:11" ht="15" customHeight="1" x14ac:dyDescent="0.35">
      <c r="A61" t="s">
        <v>548</v>
      </c>
      <c r="B61" t="s">
        <v>651</v>
      </c>
      <c r="C61" t="s">
        <v>573</v>
      </c>
      <c r="D61">
        <v>1</v>
      </c>
      <c r="E61" t="s">
        <v>575</v>
      </c>
      <c r="F61" t="str">
        <f>INDEX(Taulukko25[Seura],MATCH(E61,Taulukko25[Nimi],0))</f>
        <v>IU</v>
      </c>
      <c r="G61">
        <f>MATCH(D61,Pistetaulukko!A:A,0)</f>
        <v>3</v>
      </c>
      <c r="H61">
        <f>INDEX(Pistetaulukko!B:B,G61)</f>
        <v>30</v>
      </c>
      <c r="I61" t="e">
        <f>MATCH(D61,Pistetaulukko!D:D,0)</f>
        <v>#N/A</v>
      </c>
      <c r="J61" t="e">
        <f>INDEX(Pistetaulukko!E:E,I61)</f>
        <v>#N/A</v>
      </c>
      <c r="K61" s="2" t="e">
        <f>IF(Taulukko2[[#This Row],[Laji]]="XCO",Taulukko2[[#This Row],[PstXCO]],Taulukko2[[#This Row],[PstXCC]])</f>
        <v>#N/A</v>
      </c>
    </row>
    <row r="62" spans="1:11" ht="15" customHeight="1" x14ac:dyDescent="0.35">
      <c r="A62" t="s">
        <v>548</v>
      </c>
      <c r="B62" t="s">
        <v>651</v>
      </c>
      <c r="C62" t="s">
        <v>573</v>
      </c>
      <c r="D62">
        <v>2</v>
      </c>
      <c r="E62" t="s">
        <v>581</v>
      </c>
      <c r="F62" t="str">
        <f>INDEX(Taulukko25[Seura],MATCH(E62,Taulukko25[Nimi],0))</f>
        <v>Rideep</v>
      </c>
      <c r="G62">
        <f>MATCH(D62,Pistetaulukko!A:A,0)</f>
        <v>4</v>
      </c>
      <c r="H62">
        <f>INDEX(Pistetaulukko!B:B,G62)</f>
        <v>25</v>
      </c>
      <c r="I62" t="e">
        <f>MATCH(D62,Pistetaulukko!D:D,0)</f>
        <v>#N/A</v>
      </c>
      <c r="J62" t="e">
        <f>INDEX(Pistetaulukko!E:E,I62)</f>
        <v>#N/A</v>
      </c>
      <c r="K62" s="2" t="e">
        <f>IF(Taulukko2[[#This Row],[Laji]]="XCO",Taulukko2[[#This Row],[PstXCO]],Taulukko2[[#This Row],[PstXCC]])</f>
        <v>#N/A</v>
      </c>
    </row>
    <row r="63" spans="1:11" ht="15" customHeight="1" x14ac:dyDescent="0.35">
      <c r="A63" t="s">
        <v>548</v>
      </c>
      <c r="B63" t="s">
        <v>651</v>
      </c>
      <c r="C63" t="s">
        <v>573</v>
      </c>
      <c r="D63">
        <v>3</v>
      </c>
      <c r="E63" t="s">
        <v>631</v>
      </c>
      <c r="F63" t="str">
        <f>INDEX(Taulukko25[Seura],MATCH(E63,Taulukko25[Nimi],0))</f>
        <v>TY</v>
      </c>
      <c r="G63">
        <f>MATCH(D63,Pistetaulukko!A:A,0)</f>
        <v>5</v>
      </c>
      <c r="H63">
        <f>INDEX(Pistetaulukko!B:B,G63)</f>
        <v>21</v>
      </c>
      <c r="I63" t="e">
        <f>MATCH(D63,Pistetaulukko!D:D,0)</f>
        <v>#N/A</v>
      </c>
      <c r="J63" t="e">
        <f>INDEX(Pistetaulukko!E:E,I63)</f>
        <v>#N/A</v>
      </c>
      <c r="K63" s="2" t="e">
        <f>IF(Taulukko2[[#This Row],[Laji]]="XCO",Taulukko2[[#This Row],[PstXCO]],Taulukko2[[#This Row],[PstXCC]])</f>
        <v>#N/A</v>
      </c>
    </row>
    <row r="64" spans="1:11" ht="15" customHeight="1" x14ac:dyDescent="0.35">
      <c r="A64" t="s">
        <v>548</v>
      </c>
      <c r="B64" t="s">
        <v>651</v>
      </c>
      <c r="C64" t="s">
        <v>573</v>
      </c>
      <c r="D64">
        <v>4</v>
      </c>
      <c r="E64" t="s">
        <v>582</v>
      </c>
      <c r="F64" t="str">
        <f>INDEX(Taulukko25[Seura],MATCH(E64,Taulukko25[Nimi],0))</f>
        <v>OTC</v>
      </c>
      <c r="G64">
        <f>MATCH(D64,Pistetaulukko!A:A,0)</f>
        <v>6</v>
      </c>
      <c r="H64">
        <f>INDEX(Pistetaulukko!B:B,G64)</f>
        <v>18</v>
      </c>
      <c r="I64" t="e">
        <f>MATCH(D64,Pistetaulukko!D:D,0)</f>
        <v>#N/A</v>
      </c>
      <c r="J64" t="e">
        <f>INDEX(Pistetaulukko!E:E,I64)</f>
        <v>#N/A</v>
      </c>
      <c r="K64" s="2" t="e">
        <f>IF(Taulukko2[[#This Row],[Laji]]="XCO",Taulukko2[[#This Row],[PstXCO]],Taulukko2[[#This Row],[PstXCC]])</f>
        <v>#N/A</v>
      </c>
    </row>
    <row r="65" spans="1:11" ht="15" customHeight="1" x14ac:dyDescent="0.35">
      <c r="A65" t="s">
        <v>548</v>
      </c>
      <c r="B65" t="s">
        <v>651</v>
      </c>
      <c r="C65" t="s">
        <v>573</v>
      </c>
      <c r="D65">
        <v>5</v>
      </c>
      <c r="E65" t="s">
        <v>654</v>
      </c>
      <c r="F65" t="str">
        <f>INDEX(Taulukko25[Seura],MATCH(E65,Taulukko25[Nimi],0))</f>
        <v>GIF</v>
      </c>
      <c r="G65">
        <f>MATCH(D65,Pistetaulukko!A:A,0)</f>
        <v>7</v>
      </c>
      <c r="H65">
        <f>INDEX(Pistetaulukko!B:B,G65)</f>
        <v>16</v>
      </c>
      <c r="I65" t="e">
        <f>MATCH(D65,Pistetaulukko!D:D,0)</f>
        <v>#N/A</v>
      </c>
      <c r="J65" t="e">
        <f>INDEX(Pistetaulukko!E:E,I65)</f>
        <v>#N/A</v>
      </c>
      <c r="K65" s="2" t="e">
        <f>IF(Taulukko2[[#This Row],[Laji]]="XCO",Taulukko2[[#This Row],[PstXCO]],Taulukko2[[#This Row],[PstXCC]])</f>
        <v>#N/A</v>
      </c>
    </row>
    <row r="66" spans="1:11" ht="15" customHeight="1" x14ac:dyDescent="0.35">
      <c r="A66" t="s">
        <v>548</v>
      </c>
      <c r="B66" t="s">
        <v>651</v>
      </c>
      <c r="C66" t="s">
        <v>573</v>
      </c>
      <c r="D66">
        <v>6</v>
      </c>
      <c r="E66" t="s">
        <v>655</v>
      </c>
      <c r="F66" t="str">
        <f>INDEX(Taulukko25[Seura],MATCH(E66,Taulukko25[Nimi],0))</f>
        <v>OTC</v>
      </c>
      <c r="G66">
        <f>MATCH(D66,Pistetaulukko!A:A,0)</f>
        <v>8</v>
      </c>
      <c r="H66">
        <f>INDEX(Pistetaulukko!B:B,G66)</f>
        <v>14</v>
      </c>
      <c r="I66" t="e">
        <f>MATCH(D66,Pistetaulukko!D:D,0)</f>
        <v>#N/A</v>
      </c>
      <c r="J66" t="e">
        <f>INDEX(Pistetaulukko!E:E,I66)</f>
        <v>#N/A</v>
      </c>
      <c r="K66" s="2" t="e">
        <f>IF(Taulukko2[[#This Row],[Laji]]="XCO",Taulukko2[[#This Row],[PstXCO]],Taulukko2[[#This Row],[PstXCC]])</f>
        <v>#N/A</v>
      </c>
    </row>
    <row r="67" spans="1:11" ht="15" customHeight="1" x14ac:dyDescent="0.35">
      <c r="A67" t="s">
        <v>548</v>
      </c>
      <c r="B67" t="s">
        <v>651</v>
      </c>
      <c r="C67" t="s">
        <v>584</v>
      </c>
      <c r="D67">
        <v>1</v>
      </c>
      <c r="E67" t="s">
        <v>586</v>
      </c>
      <c r="F67" t="str">
        <f>INDEX(Taulukko25[Seura],MATCH(E67,Taulukko25[Nimi],0))</f>
        <v>VlkMTB</v>
      </c>
      <c r="G67">
        <f>MATCH(D67,Pistetaulukko!A:A,0)</f>
        <v>3</v>
      </c>
      <c r="H67">
        <f>INDEX(Pistetaulukko!B:B,G67)</f>
        <v>30</v>
      </c>
      <c r="I67" t="e">
        <f>MATCH(D67,Pistetaulukko!D:D,0)</f>
        <v>#N/A</v>
      </c>
      <c r="J67" t="e">
        <f>INDEX(Pistetaulukko!E:E,I67)</f>
        <v>#N/A</v>
      </c>
      <c r="K67" s="2" t="e">
        <f>IF(Taulukko2[[#This Row],[Laji]]="XCO",Taulukko2[[#This Row],[PstXCO]],Taulukko2[[#This Row],[PstXCC]])</f>
        <v>#N/A</v>
      </c>
    </row>
    <row r="68" spans="1:11" ht="15" customHeight="1" x14ac:dyDescent="0.35">
      <c r="A68" t="s">
        <v>547</v>
      </c>
      <c r="B68" t="s">
        <v>656</v>
      </c>
      <c r="C68" t="s">
        <v>682</v>
      </c>
      <c r="D68">
        <v>1</v>
      </c>
      <c r="E68" t="s">
        <v>590</v>
      </c>
      <c r="F68" t="str">
        <f>INDEX(Taulukko25[Seura],MATCH(E68,Taulukko25[Nimi],0))</f>
        <v>JYPS</v>
      </c>
      <c r="G68">
        <f>MATCH(D68,Pistetaulukko!A:A,0)</f>
        <v>3</v>
      </c>
      <c r="H68">
        <f>INDEX(Pistetaulukko!B:B,G68)</f>
        <v>30</v>
      </c>
      <c r="I68" t="e">
        <f>MATCH(D68,Pistetaulukko!D:D,0)</f>
        <v>#N/A</v>
      </c>
      <c r="J68" t="e">
        <f>INDEX(Pistetaulukko!E:E,I68)</f>
        <v>#N/A</v>
      </c>
      <c r="K68" s="2">
        <f>IF(Taulukko2[[#This Row],[Laji]]="XCO",Taulukko2[[#This Row],[PstXCO]],Taulukko2[[#This Row],[PstXCC]])</f>
        <v>30</v>
      </c>
    </row>
    <row r="69" spans="1:11" ht="15" customHeight="1" x14ac:dyDescent="0.35">
      <c r="A69" t="s">
        <v>547</v>
      </c>
      <c r="B69" t="s">
        <v>656</v>
      </c>
      <c r="C69" t="s">
        <v>682</v>
      </c>
      <c r="D69">
        <v>2</v>
      </c>
      <c r="E69" t="s">
        <v>560</v>
      </c>
      <c r="F69" t="str">
        <f>INDEX(Taulukko25[Seura],MATCH(E69,Taulukko25[Nimi],0))</f>
        <v>OP-P</v>
      </c>
      <c r="G69">
        <f>MATCH(D69,Pistetaulukko!A:A,0)</f>
        <v>4</v>
      </c>
      <c r="H69">
        <f>INDEX(Pistetaulukko!B:B,G69)</f>
        <v>25</v>
      </c>
      <c r="I69" t="e">
        <f>MATCH(D69,Pistetaulukko!D:D,0)</f>
        <v>#N/A</v>
      </c>
      <c r="J69" t="e">
        <f>INDEX(Pistetaulukko!E:E,I69)</f>
        <v>#N/A</v>
      </c>
      <c r="K69" s="2">
        <f>IF(Taulukko2[[#This Row],[Laji]]="XCO",Taulukko2[[#This Row],[PstXCO]],Taulukko2[[#This Row],[PstXCC]])</f>
        <v>25</v>
      </c>
    </row>
    <row r="70" spans="1:11" ht="15" customHeight="1" x14ac:dyDescent="0.35">
      <c r="A70" t="s">
        <v>547</v>
      </c>
      <c r="B70" t="s">
        <v>656</v>
      </c>
      <c r="C70" t="s">
        <v>683</v>
      </c>
      <c r="D70">
        <v>1</v>
      </c>
      <c r="E70" t="s">
        <v>626</v>
      </c>
      <c r="F70" t="str">
        <f>INDEX(Taulukko25[Seura],MATCH(E70,Taulukko25[Nimi],0))</f>
        <v>Akilles</v>
      </c>
      <c r="G70">
        <f>MATCH(D70,Pistetaulukko!A:A,0)</f>
        <v>3</v>
      </c>
      <c r="H70">
        <f>INDEX(Pistetaulukko!B:B,G70)</f>
        <v>30</v>
      </c>
      <c r="I70" t="e">
        <f>MATCH(D70,Pistetaulukko!D:D,0)</f>
        <v>#N/A</v>
      </c>
      <c r="J70" t="e">
        <f>INDEX(Pistetaulukko!E:E,I70)</f>
        <v>#N/A</v>
      </c>
      <c r="K70" s="2">
        <f>IF(Taulukko2[[#This Row],[Laji]]="XCO",Taulukko2[[#This Row],[PstXCO]],Taulukko2[[#This Row],[PstXCC]])</f>
        <v>30</v>
      </c>
    </row>
    <row r="71" spans="1:11" ht="15" customHeight="1" x14ac:dyDescent="0.35">
      <c r="A71" t="s">
        <v>547</v>
      </c>
      <c r="B71" t="s">
        <v>656</v>
      </c>
      <c r="C71" t="s">
        <v>683</v>
      </c>
      <c r="D71">
        <v>2</v>
      </c>
      <c r="E71" t="s">
        <v>444</v>
      </c>
      <c r="F71" t="str">
        <f>INDEX(Taulukko25[Seura],MATCH(E71,Taulukko25[Nimi],0))</f>
        <v>GIF</v>
      </c>
      <c r="G71">
        <f>MATCH(D71,Pistetaulukko!A:A,0)</f>
        <v>4</v>
      </c>
      <c r="H71">
        <f>INDEX(Pistetaulukko!B:B,G71)</f>
        <v>25</v>
      </c>
      <c r="I71" t="e">
        <f>MATCH(D71,Pistetaulukko!D:D,0)</f>
        <v>#N/A</v>
      </c>
      <c r="J71" t="e">
        <f>INDEX(Pistetaulukko!E:E,I71)</f>
        <v>#N/A</v>
      </c>
      <c r="K71" s="2">
        <f>IF(Taulukko2[[#This Row],[Laji]]="XCO",Taulukko2[[#This Row],[PstXCO]],Taulukko2[[#This Row],[PstXCC]])</f>
        <v>25</v>
      </c>
    </row>
    <row r="72" spans="1:11" ht="15" customHeight="1" x14ac:dyDescent="0.35">
      <c r="A72" t="s">
        <v>547</v>
      </c>
      <c r="B72" t="s">
        <v>656</v>
      </c>
      <c r="C72" t="s">
        <v>683</v>
      </c>
      <c r="D72">
        <v>3</v>
      </c>
      <c r="E72" t="s">
        <v>657</v>
      </c>
      <c r="F72" t="str">
        <f>INDEX(Taulukko25[Seura],MATCH(E72,Taulukko25[Nimi],0))</f>
        <v>OTC</v>
      </c>
      <c r="G72">
        <f>MATCH(D72,Pistetaulukko!A:A,0)</f>
        <v>5</v>
      </c>
      <c r="H72">
        <f>INDEX(Pistetaulukko!B:B,G72)</f>
        <v>21</v>
      </c>
      <c r="I72" t="e">
        <f>MATCH(D72,Pistetaulukko!D:D,0)</f>
        <v>#N/A</v>
      </c>
      <c r="J72" t="e">
        <f>INDEX(Pistetaulukko!E:E,I72)</f>
        <v>#N/A</v>
      </c>
      <c r="K72" s="2">
        <f>IF(Taulukko2[[#This Row],[Laji]]="XCO",Taulukko2[[#This Row],[PstXCO]],Taulukko2[[#This Row],[PstXCC]])</f>
        <v>21</v>
      </c>
    </row>
    <row r="73" spans="1:11" ht="15" customHeight="1" x14ac:dyDescent="0.35">
      <c r="A73" t="s">
        <v>547</v>
      </c>
      <c r="B73" t="s">
        <v>656</v>
      </c>
      <c r="C73" t="s">
        <v>683</v>
      </c>
      <c r="D73">
        <v>4</v>
      </c>
      <c r="E73" t="s">
        <v>652</v>
      </c>
      <c r="F73" t="str">
        <f>INDEX(Taulukko25[Seura],MATCH(E73,Taulukko25[Nimi],0))</f>
        <v>CC Ilves</v>
      </c>
      <c r="G73">
        <f>MATCH(D73,Pistetaulukko!A:A,0)</f>
        <v>6</v>
      </c>
      <c r="H73">
        <f>INDEX(Pistetaulukko!B:B,G73)</f>
        <v>18</v>
      </c>
      <c r="I73" t="e">
        <f>MATCH(D73,Pistetaulukko!D:D,0)</f>
        <v>#N/A</v>
      </c>
      <c r="J73" t="e">
        <f>INDEX(Pistetaulukko!E:E,I73)</f>
        <v>#N/A</v>
      </c>
      <c r="K73" s="2">
        <f>IF(Taulukko2[[#This Row],[Laji]]="XCO",Taulukko2[[#This Row],[PstXCO]],Taulukko2[[#This Row],[PstXCC]])</f>
        <v>18</v>
      </c>
    </row>
    <row r="74" spans="1:11" ht="15" customHeight="1" x14ac:dyDescent="0.35">
      <c r="A74" t="s">
        <v>547</v>
      </c>
      <c r="B74" t="s">
        <v>656</v>
      </c>
      <c r="C74" t="s">
        <v>646</v>
      </c>
      <c r="D74">
        <v>1</v>
      </c>
      <c r="E74" t="s">
        <v>68</v>
      </c>
      <c r="F74" t="str">
        <f>INDEX(Taulukko25[Seura],MATCH(E74,Taulukko25[Nimi],0))</f>
        <v>ProMTB</v>
      </c>
      <c r="G74">
        <f>MATCH(D74,Pistetaulukko!A:A,0)</f>
        <v>3</v>
      </c>
      <c r="H74">
        <f>INDEX(Pistetaulukko!B:B,G74)</f>
        <v>30</v>
      </c>
      <c r="I74" t="e">
        <f>MATCH(D74,Pistetaulukko!D:D,0)</f>
        <v>#N/A</v>
      </c>
      <c r="J74" t="e">
        <f>INDEX(Pistetaulukko!E:E,I74)</f>
        <v>#N/A</v>
      </c>
      <c r="K74" s="2">
        <f>IF(Taulukko2[[#This Row],[Laji]]="XCO",Taulukko2[[#This Row],[PstXCO]],Taulukko2[[#This Row],[PstXCC]])</f>
        <v>30</v>
      </c>
    </row>
    <row r="75" spans="1:11" ht="15" customHeight="1" x14ac:dyDescent="0.35">
      <c r="A75" t="s">
        <v>547</v>
      </c>
      <c r="B75" t="s">
        <v>656</v>
      </c>
      <c r="C75" t="s">
        <v>646</v>
      </c>
      <c r="D75">
        <v>2</v>
      </c>
      <c r="E75" t="s">
        <v>189</v>
      </c>
      <c r="F75" t="str">
        <f>INDEX(Taulukko25[Seura],MATCH(E75,Taulukko25[Nimi],0))</f>
        <v>Ei SP jäsenseura</v>
      </c>
      <c r="G75">
        <f>MATCH(D75,Pistetaulukko!A:A,0)</f>
        <v>4</v>
      </c>
      <c r="H75">
        <f>INDEX(Pistetaulukko!B:B,G75)</f>
        <v>25</v>
      </c>
      <c r="I75" t="e">
        <f>MATCH(D75,Pistetaulukko!D:D,0)</f>
        <v>#N/A</v>
      </c>
      <c r="J75" t="e">
        <f>INDEX(Pistetaulukko!E:E,I75)</f>
        <v>#N/A</v>
      </c>
      <c r="K75" s="2">
        <f>IF(Taulukko2[[#This Row],[Laji]]="XCO",Taulukko2[[#This Row],[PstXCO]],Taulukko2[[#This Row],[PstXCC]])</f>
        <v>25</v>
      </c>
    </row>
    <row r="76" spans="1:11" ht="15" customHeight="1" x14ac:dyDescent="0.35">
      <c r="A76" t="s">
        <v>547</v>
      </c>
      <c r="B76" t="s">
        <v>656</v>
      </c>
      <c r="C76" t="s">
        <v>646</v>
      </c>
      <c r="D76">
        <v>3</v>
      </c>
      <c r="E76" t="s">
        <v>209</v>
      </c>
      <c r="F76" t="str">
        <f>INDEX(Taulukko25[Seura],MATCH(E76,Taulukko25[Nimi],0))</f>
        <v>OTC</v>
      </c>
      <c r="G76">
        <f>MATCH(D76,Pistetaulukko!A:A,0)</f>
        <v>5</v>
      </c>
      <c r="H76">
        <f>INDEX(Pistetaulukko!B:B,G76)</f>
        <v>21</v>
      </c>
      <c r="I76" t="e">
        <f>MATCH(D76,Pistetaulukko!D:D,0)</f>
        <v>#N/A</v>
      </c>
      <c r="J76" t="e">
        <f>INDEX(Pistetaulukko!E:E,I76)</f>
        <v>#N/A</v>
      </c>
      <c r="K76" s="2">
        <f>IF(Taulukko2[[#This Row],[Laji]]="XCO",Taulukko2[[#This Row],[PstXCO]],Taulukko2[[#This Row],[PstXCC]])</f>
        <v>21</v>
      </c>
    </row>
    <row r="77" spans="1:11" ht="15" customHeight="1" x14ac:dyDescent="0.35">
      <c r="A77" t="s">
        <v>547</v>
      </c>
      <c r="B77" t="s">
        <v>656</v>
      </c>
      <c r="C77" t="s">
        <v>646</v>
      </c>
      <c r="D77">
        <v>4</v>
      </c>
      <c r="E77" t="s">
        <v>190</v>
      </c>
      <c r="F77" t="str">
        <f>INDEX(Taulukko25[Seura],MATCH(E77,Taulukko25[Nimi],0))</f>
        <v>RMTB</v>
      </c>
      <c r="G77">
        <f>MATCH(D77,Pistetaulukko!A:A,0)</f>
        <v>6</v>
      </c>
      <c r="H77">
        <f>INDEX(Pistetaulukko!B:B,G77)</f>
        <v>18</v>
      </c>
      <c r="I77" t="e">
        <f>MATCH(D77,Pistetaulukko!D:D,0)</f>
        <v>#N/A</v>
      </c>
      <c r="J77" t="e">
        <f>INDEX(Pistetaulukko!E:E,I77)</f>
        <v>#N/A</v>
      </c>
      <c r="K77" s="2">
        <f>IF(Taulukko2[[#This Row],[Laji]]="XCO",Taulukko2[[#This Row],[PstXCO]],Taulukko2[[#This Row],[PstXCC]])</f>
        <v>18</v>
      </c>
    </row>
    <row r="78" spans="1:11" ht="15" customHeight="1" x14ac:dyDescent="0.35">
      <c r="A78" t="s">
        <v>547</v>
      </c>
      <c r="B78" t="s">
        <v>656</v>
      </c>
      <c r="C78" t="s">
        <v>646</v>
      </c>
      <c r="D78">
        <v>5</v>
      </c>
      <c r="E78" t="s">
        <v>340</v>
      </c>
      <c r="F78" t="str">
        <f>INDEX(Taulukko25[Seura],MATCH(E78,Taulukko25[Nimi],0))</f>
        <v>KorsKa</v>
      </c>
      <c r="G78">
        <f>MATCH(D78,Pistetaulukko!A:A,0)</f>
        <v>7</v>
      </c>
      <c r="H78">
        <f>INDEX(Pistetaulukko!B:B,G78)</f>
        <v>16</v>
      </c>
      <c r="I78" t="e">
        <f>MATCH(D78,Pistetaulukko!D:D,0)</f>
        <v>#N/A</v>
      </c>
      <c r="J78" t="e">
        <f>INDEX(Pistetaulukko!E:E,I78)</f>
        <v>#N/A</v>
      </c>
      <c r="K78" s="2">
        <f>IF(Taulukko2[[#This Row],[Laji]]="XCO",Taulukko2[[#This Row],[PstXCO]],Taulukko2[[#This Row],[PstXCC]])</f>
        <v>16</v>
      </c>
    </row>
    <row r="79" spans="1:11" ht="15" customHeight="1" x14ac:dyDescent="0.35">
      <c r="A79" t="s">
        <v>547</v>
      </c>
      <c r="B79" t="s">
        <v>656</v>
      </c>
      <c r="C79" t="s">
        <v>645</v>
      </c>
      <c r="D79">
        <v>1</v>
      </c>
      <c r="E79" t="s">
        <v>70</v>
      </c>
      <c r="F79" t="str">
        <f>INDEX(Taulukko25[Seura],MATCH(E79,Taulukko25[Nimi],0))</f>
        <v xml:space="preserve">LrPy </v>
      </c>
      <c r="G79">
        <f>MATCH(D79,Pistetaulukko!A:A,0)</f>
        <v>3</v>
      </c>
      <c r="H79">
        <f>INDEX(Pistetaulukko!B:B,G79)</f>
        <v>30</v>
      </c>
      <c r="I79" t="e">
        <f>MATCH(D79,Pistetaulukko!D:D,0)</f>
        <v>#N/A</v>
      </c>
      <c r="J79" t="e">
        <f>INDEX(Pistetaulukko!E:E,I79)</f>
        <v>#N/A</v>
      </c>
      <c r="K79" s="2">
        <f>IF(Taulukko2[[#This Row],[Laji]]="XCO",Taulukko2[[#This Row],[PstXCO]],Taulukko2[[#This Row],[PstXCC]])</f>
        <v>30</v>
      </c>
    </row>
    <row r="80" spans="1:11" ht="15" customHeight="1" x14ac:dyDescent="0.35">
      <c r="A80" t="s">
        <v>547</v>
      </c>
      <c r="B80" t="s">
        <v>656</v>
      </c>
      <c r="C80" t="s">
        <v>645</v>
      </c>
      <c r="D80">
        <v>2</v>
      </c>
      <c r="E80" t="s">
        <v>71</v>
      </c>
      <c r="F80" t="str">
        <f>INDEX(Taulukko25[Seura],MATCH(E80,Taulukko25[Nimi],0))</f>
        <v>Rideep</v>
      </c>
      <c r="G80">
        <f>MATCH(D80,Pistetaulukko!A:A,0)</f>
        <v>4</v>
      </c>
      <c r="H80">
        <f>INDEX(Pistetaulukko!B:B,G80)</f>
        <v>25</v>
      </c>
      <c r="I80" t="e">
        <f>MATCH(D80,Pistetaulukko!D:D,0)</f>
        <v>#N/A</v>
      </c>
      <c r="J80" t="e">
        <f>INDEX(Pistetaulukko!E:E,I80)</f>
        <v>#N/A</v>
      </c>
      <c r="K80" s="2">
        <f>IF(Taulukko2[[#This Row],[Laji]]="XCO",Taulukko2[[#This Row],[PstXCO]],Taulukko2[[#This Row],[PstXCC]])</f>
        <v>25</v>
      </c>
    </row>
    <row r="81" spans="1:11" ht="15" customHeight="1" x14ac:dyDescent="0.35">
      <c r="A81" t="s">
        <v>547</v>
      </c>
      <c r="B81" t="s">
        <v>656</v>
      </c>
      <c r="C81" t="s">
        <v>645</v>
      </c>
      <c r="D81">
        <v>3</v>
      </c>
      <c r="E81" t="s">
        <v>75</v>
      </c>
      <c r="F81" t="str">
        <f>INDEX(Taulukko25[Seura],MATCH(E81,Taulukko25[Nimi],0))</f>
        <v>HyPy</v>
      </c>
      <c r="G81">
        <f>MATCH(D81,Pistetaulukko!A:A,0)</f>
        <v>5</v>
      </c>
      <c r="H81">
        <f>INDEX(Pistetaulukko!B:B,G81)</f>
        <v>21</v>
      </c>
      <c r="I81" t="e">
        <f>MATCH(D81,Pistetaulukko!D:D,0)</f>
        <v>#N/A</v>
      </c>
      <c r="J81" t="e">
        <f>INDEX(Pistetaulukko!E:E,I81)</f>
        <v>#N/A</v>
      </c>
      <c r="K81" s="2">
        <f>IF(Taulukko2[[#This Row],[Laji]]="XCO",Taulukko2[[#This Row],[PstXCO]],Taulukko2[[#This Row],[PstXCC]])</f>
        <v>21</v>
      </c>
    </row>
    <row r="82" spans="1:11" ht="15" customHeight="1" x14ac:dyDescent="0.35">
      <c r="A82" t="s">
        <v>547</v>
      </c>
      <c r="B82" t="s">
        <v>656</v>
      </c>
      <c r="C82" t="s">
        <v>553</v>
      </c>
      <c r="D82">
        <v>1</v>
      </c>
      <c r="E82" t="s">
        <v>653</v>
      </c>
      <c r="F82">
        <f>INDEX(Taulukko25[Seura],MATCH(E82,Taulukko25[Nimi],0))</f>
        <v>0</v>
      </c>
      <c r="G82">
        <f>MATCH(D82,Pistetaulukko!A:A,0)</f>
        <v>3</v>
      </c>
      <c r="H82">
        <f>INDEX(Pistetaulukko!B:B,G82)</f>
        <v>30</v>
      </c>
      <c r="I82" t="e">
        <f>MATCH(D82,Pistetaulukko!D:D,0)</f>
        <v>#N/A</v>
      </c>
      <c r="J82" t="e">
        <f>INDEX(Pistetaulukko!E:E,I82)</f>
        <v>#N/A</v>
      </c>
      <c r="K82" s="2">
        <f>IF(Taulukko2[[#This Row],[Laji]]="XCO",Taulukko2[[#This Row],[PstXCO]],Taulukko2[[#This Row],[PstXCC]])</f>
        <v>30</v>
      </c>
    </row>
    <row r="83" spans="1:11" ht="15" customHeight="1" x14ac:dyDescent="0.35">
      <c r="A83" t="s">
        <v>547</v>
      </c>
      <c r="B83" t="s">
        <v>656</v>
      </c>
      <c r="C83" t="s">
        <v>553</v>
      </c>
      <c r="D83">
        <v>2</v>
      </c>
      <c r="E83" t="s">
        <v>554</v>
      </c>
      <c r="F83" t="str">
        <f>INDEX(Taulukko25[Seura],MATCH(E83,Taulukko25[Nimi],0))</f>
        <v>RMTB</v>
      </c>
      <c r="G83">
        <f>MATCH(D83,Pistetaulukko!A:A,0)</f>
        <v>4</v>
      </c>
      <c r="H83">
        <f>INDEX(Pistetaulukko!B:B,G83)</f>
        <v>25</v>
      </c>
      <c r="I83" t="e">
        <f>MATCH(D83,Pistetaulukko!D:D,0)</f>
        <v>#N/A</v>
      </c>
      <c r="J83" t="e">
        <f>INDEX(Pistetaulukko!E:E,I83)</f>
        <v>#N/A</v>
      </c>
      <c r="K83" s="2">
        <f>IF(Taulukko2[[#This Row],[Laji]]="XCO",Taulukko2[[#This Row],[PstXCO]],Taulukko2[[#This Row],[PstXCC]])</f>
        <v>25</v>
      </c>
    </row>
    <row r="84" spans="1:11" ht="15" customHeight="1" x14ac:dyDescent="0.35">
      <c r="A84" t="s">
        <v>547</v>
      </c>
      <c r="B84" t="s">
        <v>656</v>
      </c>
      <c r="C84" t="s">
        <v>553</v>
      </c>
      <c r="D84">
        <v>3</v>
      </c>
      <c r="E84" t="s">
        <v>557</v>
      </c>
      <c r="F84" t="str">
        <f>INDEX(Taulukko25[Seura],MATCH(E84,Taulukko25[Nimi],0))</f>
        <v>KorsKa</v>
      </c>
      <c r="G84">
        <f>MATCH(D84,Pistetaulukko!A:A,0)</f>
        <v>5</v>
      </c>
      <c r="H84">
        <f>INDEX(Pistetaulukko!B:B,G84)</f>
        <v>21</v>
      </c>
      <c r="I84" t="e">
        <f>MATCH(D84,Pistetaulukko!D:D,0)</f>
        <v>#N/A</v>
      </c>
      <c r="J84" t="e">
        <f>INDEX(Pistetaulukko!E:E,I84)</f>
        <v>#N/A</v>
      </c>
      <c r="K84" s="2">
        <f>IF(Taulukko2[[#This Row],[Laji]]="XCO",Taulukko2[[#This Row],[PstXCO]],Taulukko2[[#This Row],[PstXCC]])</f>
        <v>21</v>
      </c>
    </row>
    <row r="85" spans="1:11" ht="15" customHeight="1" x14ac:dyDescent="0.35">
      <c r="A85" t="s">
        <v>547</v>
      </c>
      <c r="B85" t="s">
        <v>656</v>
      </c>
      <c r="C85" t="s">
        <v>553</v>
      </c>
      <c r="D85">
        <v>4</v>
      </c>
      <c r="E85" t="s">
        <v>558</v>
      </c>
      <c r="F85" t="str">
        <f>INDEX(Taulukko25[Seura],MATCH(E85,Taulukko25[Nimi],0))</f>
        <v>RaKe</v>
      </c>
      <c r="G85">
        <f>MATCH(D85,Pistetaulukko!A:A,0)</f>
        <v>6</v>
      </c>
      <c r="H85">
        <f>INDEX(Pistetaulukko!B:B,G85)</f>
        <v>18</v>
      </c>
      <c r="I85" t="e">
        <f>MATCH(D85,Pistetaulukko!D:D,0)</f>
        <v>#N/A</v>
      </c>
      <c r="J85" t="e">
        <f>INDEX(Pistetaulukko!E:E,I85)</f>
        <v>#N/A</v>
      </c>
      <c r="K85" s="2">
        <f>IF(Taulukko2[[#This Row],[Laji]]="XCO",Taulukko2[[#This Row],[PstXCO]],Taulukko2[[#This Row],[PstXCC]])</f>
        <v>18</v>
      </c>
    </row>
    <row r="86" spans="1:11" ht="15" customHeight="1" x14ac:dyDescent="0.35">
      <c r="A86" t="s">
        <v>547</v>
      </c>
      <c r="B86" t="s">
        <v>656</v>
      </c>
      <c r="C86" t="s">
        <v>573</v>
      </c>
      <c r="D86">
        <v>1</v>
      </c>
      <c r="E86" t="s">
        <v>575</v>
      </c>
      <c r="F86" t="str">
        <f>INDEX(Taulukko25[Seura],MATCH(E86,Taulukko25[Nimi],0))</f>
        <v>IU</v>
      </c>
      <c r="G86">
        <f>MATCH(D86,Pistetaulukko!A:A,0)</f>
        <v>3</v>
      </c>
      <c r="H86">
        <f>INDEX(Pistetaulukko!B:B,G86)</f>
        <v>30</v>
      </c>
      <c r="I86" t="e">
        <f>MATCH(D86,Pistetaulukko!D:D,0)</f>
        <v>#N/A</v>
      </c>
      <c r="J86" t="e">
        <f>INDEX(Pistetaulukko!E:E,I86)</f>
        <v>#N/A</v>
      </c>
      <c r="K86" s="2">
        <f>IF(Taulukko2[[#This Row],[Laji]]="XCO",Taulukko2[[#This Row],[PstXCO]],Taulukko2[[#This Row],[PstXCC]])</f>
        <v>30</v>
      </c>
    </row>
    <row r="87" spans="1:11" ht="15" customHeight="1" x14ac:dyDescent="0.35">
      <c r="A87" t="s">
        <v>547</v>
      </c>
      <c r="B87" t="s">
        <v>656</v>
      </c>
      <c r="C87" t="s">
        <v>573</v>
      </c>
      <c r="D87">
        <v>2</v>
      </c>
      <c r="E87" t="s">
        <v>658</v>
      </c>
      <c r="F87" t="str">
        <f>INDEX(Taulukko25[Seura],MATCH(E87,Taulukko25[Nimi],0))</f>
        <v>KorsKa</v>
      </c>
      <c r="G87">
        <f>MATCH(D87,Pistetaulukko!A:A,0)</f>
        <v>4</v>
      </c>
      <c r="H87">
        <f>INDEX(Pistetaulukko!B:B,G87)</f>
        <v>25</v>
      </c>
      <c r="I87" t="e">
        <f>MATCH(D87,Pistetaulukko!D:D,0)</f>
        <v>#N/A</v>
      </c>
      <c r="J87" t="e">
        <f>INDEX(Pistetaulukko!E:E,I87)</f>
        <v>#N/A</v>
      </c>
      <c r="K87" s="2">
        <f>IF(Taulukko2[[#This Row],[Laji]]="XCO",Taulukko2[[#This Row],[PstXCO]],Taulukko2[[#This Row],[PstXCC]])</f>
        <v>25</v>
      </c>
    </row>
    <row r="88" spans="1:11" ht="15" customHeight="1" x14ac:dyDescent="0.35">
      <c r="A88" t="s">
        <v>547</v>
      </c>
      <c r="B88" t="s">
        <v>656</v>
      </c>
      <c r="C88" t="s">
        <v>573</v>
      </c>
      <c r="D88">
        <v>3</v>
      </c>
      <c r="E88" t="s">
        <v>659</v>
      </c>
      <c r="F88" t="str">
        <f>INDEX(Taulukko25[Seura],MATCH(E88,Taulukko25[Nimi],0))</f>
        <v>OP-P</v>
      </c>
      <c r="G88">
        <f>MATCH(D88,Pistetaulukko!A:A,0)</f>
        <v>5</v>
      </c>
      <c r="H88">
        <f>INDEX(Pistetaulukko!B:B,G88)</f>
        <v>21</v>
      </c>
      <c r="I88" t="e">
        <f>MATCH(D88,Pistetaulukko!D:D,0)</f>
        <v>#N/A</v>
      </c>
      <c r="J88" t="e">
        <f>INDEX(Pistetaulukko!E:E,I88)</f>
        <v>#N/A</v>
      </c>
      <c r="K88" s="2">
        <f>IF(Taulukko2[[#This Row],[Laji]]="XCO",Taulukko2[[#This Row],[PstXCO]],Taulukko2[[#This Row],[PstXCC]])</f>
        <v>21</v>
      </c>
    </row>
    <row r="89" spans="1:11" ht="15" customHeight="1" x14ac:dyDescent="0.35">
      <c r="A89" t="s">
        <v>547</v>
      </c>
      <c r="B89" t="s">
        <v>656</v>
      </c>
      <c r="C89" t="s">
        <v>573</v>
      </c>
      <c r="D89">
        <v>4</v>
      </c>
      <c r="E89" t="s">
        <v>631</v>
      </c>
      <c r="F89" t="str">
        <f>INDEX(Taulukko25[Seura],MATCH(E89,Taulukko25[Nimi],0))</f>
        <v>TY</v>
      </c>
      <c r="G89">
        <f>MATCH(D89,Pistetaulukko!A:A,0)</f>
        <v>6</v>
      </c>
      <c r="H89">
        <f>INDEX(Pistetaulukko!B:B,G89)</f>
        <v>18</v>
      </c>
      <c r="I89" t="e">
        <f>MATCH(D89,Pistetaulukko!D:D,0)</f>
        <v>#N/A</v>
      </c>
      <c r="J89" t="e">
        <f>INDEX(Pistetaulukko!E:E,I89)</f>
        <v>#N/A</v>
      </c>
      <c r="K89" s="2">
        <f>IF(Taulukko2[[#This Row],[Laji]]="XCO",Taulukko2[[#This Row],[PstXCO]],Taulukko2[[#This Row],[PstXCC]])</f>
        <v>18</v>
      </c>
    </row>
    <row r="90" spans="1:11" ht="15" customHeight="1" x14ac:dyDescent="0.35">
      <c r="A90" t="s">
        <v>547</v>
      </c>
      <c r="B90" t="s">
        <v>656</v>
      </c>
      <c r="C90" t="s">
        <v>584</v>
      </c>
      <c r="D90">
        <v>1</v>
      </c>
      <c r="E90" t="s">
        <v>585</v>
      </c>
      <c r="F90" t="str">
        <f>INDEX(Taulukko25[Seura],MATCH(E90,Taulukko25[Nimi],0))</f>
        <v>Larsmo IF</v>
      </c>
      <c r="G90">
        <f>MATCH(D90,Pistetaulukko!A:A,0)</f>
        <v>3</v>
      </c>
      <c r="H90">
        <f>INDEX(Pistetaulukko!B:B,G90)</f>
        <v>30</v>
      </c>
      <c r="I90" t="e">
        <f>MATCH(D90,Pistetaulukko!D:D,0)</f>
        <v>#N/A</v>
      </c>
      <c r="J90" t="e">
        <f>INDEX(Pistetaulukko!E:E,I90)</f>
        <v>#N/A</v>
      </c>
      <c r="K90" s="2">
        <f>IF(Taulukko2[[#This Row],[Laji]]="XCO",Taulukko2[[#This Row],[PstXCO]],Taulukko2[[#This Row],[PstXCC]])</f>
        <v>30</v>
      </c>
    </row>
    <row r="91" spans="1:11" ht="15" customHeight="1" x14ac:dyDescent="0.35">
      <c r="A91" t="s">
        <v>547</v>
      </c>
      <c r="B91" t="s">
        <v>656</v>
      </c>
      <c r="C91" t="s">
        <v>584</v>
      </c>
      <c r="D91">
        <v>2</v>
      </c>
      <c r="E91" t="s">
        <v>586</v>
      </c>
      <c r="F91" t="str">
        <f>INDEX(Taulukko25[Seura],MATCH(E91,Taulukko25[Nimi],0))</f>
        <v>VlkMTB</v>
      </c>
      <c r="G91">
        <f>MATCH(D91,Pistetaulukko!A:A,0)</f>
        <v>4</v>
      </c>
      <c r="H91">
        <f>INDEX(Pistetaulukko!B:B,G91)</f>
        <v>25</v>
      </c>
      <c r="I91" t="e">
        <f>MATCH(D91,Pistetaulukko!D:D,0)</f>
        <v>#N/A</v>
      </c>
      <c r="J91" t="e">
        <f>INDEX(Pistetaulukko!E:E,I91)</f>
        <v>#N/A</v>
      </c>
      <c r="K91" s="2">
        <f>IF(Taulukko2[[#This Row],[Laji]]="XCO",Taulukko2[[#This Row],[PstXCO]],Taulukko2[[#This Row],[PstXCC]])</f>
        <v>25</v>
      </c>
    </row>
    <row r="92" spans="1:11" ht="15" customHeight="1" x14ac:dyDescent="0.35">
      <c r="A92" t="s">
        <v>548</v>
      </c>
      <c r="B92" t="s">
        <v>670</v>
      </c>
      <c r="C92" t="s">
        <v>553</v>
      </c>
      <c r="D92">
        <v>1</v>
      </c>
      <c r="E92" t="s">
        <v>556</v>
      </c>
      <c r="F92" t="str">
        <f>INDEX(Taulukko25[Seura],MATCH(E92,Taulukko25[Nimi],0))</f>
        <v>Rideep</v>
      </c>
      <c r="G92">
        <f>MATCH(D92,Pistetaulukko!A:A,0)</f>
        <v>3</v>
      </c>
      <c r="H92">
        <f>INDEX(Pistetaulukko!B:B,G92)</f>
        <v>30</v>
      </c>
      <c r="I92" t="e">
        <f>MATCH(D92,Pistetaulukko!D:D,0)</f>
        <v>#N/A</v>
      </c>
      <c r="J92" t="e">
        <f>INDEX(Pistetaulukko!E:E,I92)</f>
        <v>#N/A</v>
      </c>
      <c r="K92" s="2" t="e">
        <f>IF(Taulukko2[[#This Row],[Laji]]="XCO",Taulukko2[[#This Row],[PstXCO]],Taulukko2[[#This Row],[PstXCC]])</f>
        <v>#N/A</v>
      </c>
    </row>
    <row r="93" spans="1:11" ht="15" customHeight="1" x14ac:dyDescent="0.35">
      <c r="A93" t="s">
        <v>548</v>
      </c>
      <c r="B93" t="s">
        <v>670</v>
      </c>
      <c r="C93" t="s">
        <v>553</v>
      </c>
      <c r="D93">
        <v>2</v>
      </c>
      <c r="E93" t="s">
        <v>555</v>
      </c>
      <c r="F93" t="str">
        <f>INDEX(Taulukko25[Seura],MATCH(E93,Taulukko25[Nimi],0))</f>
        <v>VlkMTB</v>
      </c>
      <c r="G93">
        <f>MATCH(D93,Pistetaulukko!A:A,0)</f>
        <v>4</v>
      </c>
      <c r="H93">
        <f>INDEX(Pistetaulukko!B:B,G93)</f>
        <v>25</v>
      </c>
      <c r="I93" t="e">
        <f>MATCH(D93,Pistetaulukko!D:D,0)</f>
        <v>#N/A</v>
      </c>
      <c r="J93" t="e">
        <f>INDEX(Pistetaulukko!E:E,I93)</f>
        <v>#N/A</v>
      </c>
      <c r="K93" s="2" t="e">
        <f>IF(Taulukko2[[#This Row],[Laji]]="XCO",Taulukko2[[#This Row],[PstXCO]],Taulukko2[[#This Row],[PstXCC]])</f>
        <v>#N/A</v>
      </c>
    </row>
    <row r="94" spans="1:11" ht="15" customHeight="1" x14ac:dyDescent="0.35">
      <c r="A94" t="s">
        <v>548</v>
      </c>
      <c r="B94" t="s">
        <v>670</v>
      </c>
      <c r="C94" t="s">
        <v>553</v>
      </c>
      <c r="D94">
        <v>3</v>
      </c>
      <c r="E94" t="s">
        <v>558</v>
      </c>
      <c r="F94" t="str">
        <f>INDEX(Taulukko25[Seura],MATCH(E94,Taulukko25[Nimi],0))</f>
        <v>RaKe</v>
      </c>
      <c r="G94">
        <f>MATCH(D94,Pistetaulukko!A:A,0)</f>
        <v>5</v>
      </c>
      <c r="H94">
        <f>INDEX(Pistetaulukko!B:B,G94)</f>
        <v>21</v>
      </c>
      <c r="I94" t="e">
        <f>MATCH(D94,Pistetaulukko!D:D,0)</f>
        <v>#N/A</v>
      </c>
      <c r="J94" t="e">
        <f>INDEX(Pistetaulukko!E:E,I94)</f>
        <v>#N/A</v>
      </c>
      <c r="K94" s="2" t="e">
        <f>IF(Taulukko2[[#This Row],[Laji]]="XCO",Taulukko2[[#This Row],[PstXCO]],Taulukko2[[#This Row],[PstXCC]])</f>
        <v>#N/A</v>
      </c>
    </row>
    <row r="95" spans="1:11" ht="15" customHeight="1" x14ac:dyDescent="0.35">
      <c r="A95" t="s">
        <v>548</v>
      </c>
      <c r="B95" t="s">
        <v>670</v>
      </c>
      <c r="C95" t="s">
        <v>553</v>
      </c>
      <c r="D95">
        <v>4</v>
      </c>
      <c r="E95" t="s">
        <v>660</v>
      </c>
      <c r="F95" t="str">
        <f>INDEX(Taulukko25[Seura],MATCH(E95,Taulukko25[Nimi],0))</f>
        <v>RaKe</v>
      </c>
      <c r="G95">
        <f>MATCH(D95,Pistetaulukko!A:A,0)</f>
        <v>6</v>
      </c>
      <c r="H95">
        <f>INDEX(Pistetaulukko!B:B,G95)</f>
        <v>18</v>
      </c>
      <c r="I95" t="e">
        <f>MATCH(D95,Pistetaulukko!D:D,0)</f>
        <v>#N/A</v>
      </c>
      <c r="J95" t="e">
        <f>INDEX(Pistetaulukko!E:E,I95)</f>
        <v>#N/A</v>
      </c>
      <c r="K95" s="2" t="e">
        <f>IF(Taulukko2[[#This Row],[Laji]]="XCO",Taulukko2[[#This Row],[PstXCO]],Taulukko2[[#This Row],[PstXCC]])</f>
        <v>#N/A</v>
      </c>
    </row>
    <row r="96" spans="1:11" ht="15" customHeight="1" x14ac:dyDescent="0.35">
      <c r="A96" t="s">
        <v>548</v>
      </c>
      <c r="B96" t="s">
        <v>670</v>
      </c>
      <c r="C96" t="s">
        <v>661</v>
      </c>
      <c r="D96">
        <v>1</v>
      </c>
      <c r="E96" t="s">
        <v>662</v>
      </c>
      <c r="F96" t="str">
        <f>INDEX(Taulukko25[Seura],MATCH(E96,Taulukko25[Nimi],0))</f>
        <v>JäPy</v>
      </c>
      <c r="G96">
        <f>MATCH(D96,Pistetaulukko!A:A,0)</f>
        <v>3</v>
      </c>
      <c r="H96">
        <f>INDEX(Pistetaulukko!B:B,G96)</f>
        <v>30</v>
      </c>
      <c r="I96" t="e">
        <f>MATCH(D96,Pistetaulukko!D:D,0)</f>
        <v>#N/A</v>
      </c>
      <c r="J96" t="e">
        <f>INDEX(Pistetaulukko!E:E,I96)</f>
        <v>#N/A</v>
      </c>
      <c r="K96" s="2" t="e">
        <f>IF(Taulukko2[[#This Row],[Laji]]="XCO",Taulukko2[[#This Row],[PstXCO]],Taulukko2[[#This Row],[PstXCC]])</f>
        <v>#N/A</v>
      </c>
    </row>
    <row r="97" spans="1:11" ht="15" customHeight="1" x14ac:dyDescent="0.35">
      <c r="A97" t="s">
        <v>548</v>
      </c>
      <c r="B97" t="s">
        <v>670</v>
      </c>
      <c r="C97" t="s">
        <v>682</v>
      </c>
      <c r="D97">
        <v>1</v>
      </c>
      <c r="E97" t="s">
        <v>663</v>
      </c>
      <c r="F97" t="str">
        <f>INDEX(Taulukko25[Seura],MATCH(E97,Taulukko25[Nimi],0))</f>
        <v>OTC</v>
      </c>
      <c r="G97">
        <f>MATCH(D97,Pistetaulukko!A:A,0)</f>
        <v>3</v>
      </c>
      <c r="H97">
        <f>INDEX(Pistetaulukko!B:B,G97)</f>
        <v>30</v>
      </c>
      <c r="I97" t="e">
        <f>MATCH(D97,Pistetaulukko!D:D,0)</f>
        <v>#N/A</v>
      </c>
      <c r="J97" t="e">
        <f>INDEX(Pistetaulukko!E:E,I97)</f>
        <v>#N/A</v>
      </c>
      <c r="K97" s="2" t="e">
        <f>IF(Taulukko2[[#This Row],[Laji]]="XCO",Taulukko2[[#This Row],[PstXCO]],Taulukko2[[#This Row],[PstXCC]])</f>
        <v>#N/A</v>
      </c>
    </row>
    <row r="98" spans="1:11" ht="15" customHeight="1" x14ac:dyDescent="0.35">
      <c r="A98" t="s">
        <v>548</v>
      </c>
      <c r="B98" t="s">
        <v>670</v>
      </c>
      <c r="C98" t="s">
        <v>682</v>
      </c>
      <c r="D98">
        <v>2</v>
      </c>
      <c r="E98" t="s">
        <v>664</v>
      </c>
      <c r="F98" t="str">
        <f>INDEX(Taulukko25[Seura],MATCH(E98,Taulukko25[Nimi],0))</f>
        <v>MSR</v>
      </c>
      <c r="G98">
        <f>MATCH(D98,Pistetaulukko!A:A,0)</f>
        <v>4</v>
      </c>
      <c r="H98">
        <f>INDEX(Pistetaulukko!B:B,G98)</f>
        <v>25</v>
      </c>
      <c r="I98" t="e">
        <f>MATCH(D98,Pistetaulukko!D:D,0)</f>
        <v>#N/A</v>
      </c>
      <c r="J98" t="e">
        <f>INDEX(Pistetaulukko!E:E,I98)</f>
        <v>#N/A</v>
      </c>
      <c r="K98" s="2" t="e">
        <f>IF(Taulukko2[[#This Row],[Laji]]="XCO",Taulukko2[[#This Row],[PstXCO]],Taulukko2[[#This Row],[PstXCC]])</f>
        <v>#N/A</v>
      </c>
    </row>
    <row r="99" spans="1:11" ht="15" customHeight="1" x14ac:dyDescent="0.35">
      <c r="A99" t="s">
        <v>548</v>
      </c>
      <c r="B99" t="s">
        <v>670</v>
      </c>
      <c r="C99" t="s">
        <v>682</v>
      </c>
      <c r="D99">
        <v>3</v>
      </c>
      <c r="E99" t="s">
        <v>665</v>
      </c>
      <c r="F99" t="str">
        <f>INDEX(Taulukko25[Seura],MATCH(E99,Taulukko25[Nimi],0))</f>
        <v>PoTa</v>
      </c>
      <c r="G99">
        <f>MATCH(D99,Pistetaulukko!A:A,0)</f>
        <v>5</v>
      </c>
      <c r="H99">
        <f>INDEX(Pistetaulukko!B:B,G99)</f>
        <v>21</v>
      </c>
      <c r="I99" t="e">
        <f>MATCH(D99,Pistetaulukko!D:D,0)</f>
        <v>#N/A</v>
      </c>
      <c r="J99" t="e">
        <f>INDEX(Pistetaulukko!E:E,I99)</f>
        <v>#N/A</v>
      </c>
      <c r="K99" s="2" t="e">
        <f>IF(Taulukko2[[#This Row],[Laji]]="XCO",Taulukko2[[#This Row],[PstXCO]],Taulukko2[[#This Row],[PstXCC]])</f>
        <v>#N/A</v>
      </c>
    </row>
    <row r="100" spans="1:11" ht="15" customHeight="1" x14ac:dyDescent="0.35">
      <c r="A100" t="s">
        <v>548</v>
      </c>
      <c r="B100" t="s">
        <v>670</v>
      </c>
      <c r="C100" t="s">
        <v>682</v>
      </c>
      <c r="D100">
        <v>4</v>
      </c>
      <c r="E100" t="s">
        <v>666</v>
      </c>
      <c r="F100" t="str">
        <f>INDEX(Taulukko25[Seura],MATCH(E100,Taulukko25[Nimi],0))</f>
        <v>Larsmo IF</v>
      </c>
      <c r="G100">
        <f>MATCH(D100,Pistetaulukko!A:A,0)</f>
        <v>6</v>
      </c>
      <c r="H100">
        <f>INDEX(Pistetaulukko!B:B,G100)</f>
        <v>18</v>
      </c>
      <c r="I100" t="e">
        <f>MATCH(D100,Pistetaulukko!D:D,0)</f>
        <v>#N/A</v>
      </c>
      <c r="J100" t="e">
        <f>INDEX(Pistetaulukko!E:E,I100)</f>
        <v>#N/A</v>
      </c>
      <c r="K100" s="2" t="e">
        <f>IF(Taulukko2[[#This Row],[Laji]]="XCO",Taulukko2[[#This Row],[PstXCO]],Taulukko2[[#This Row],[PstXCC]])</f>
        <v>#N/A</v>
      </c>
    </row>
    <row r="101" spans="1:11" ht="15" customHeight="1" x14ac:dyDescent="0.35">
      <c r="A101" t="s">
        <v>548</v>
      </c>
      <c r="B101" t="s">
        <v>670</v>
      </c>
      <c r="C101" t="s">
        <v>682</v>
      </c>
      <c r="D101">
        <v>5</v>
      </c>
      <c r="E101" t="s">
        <v>560</v>
      </c>
      <c r="F101" t="str">
        <f>INDEX(Taulukko25[Seura],MATCH(E101,Taulukko25[Nimi],0))</f>
        <v>OP-P</v>
      </c>
      <c r="G101">
        <f>MATCH(D101,Pistetaulukko!A:A,0)</f>
        <v>7</v>
      </c>
      <c r="H101">
        <f>INDEX(Pistetaulukko!B:B,G101)</f>
        <v>16</v>
      </c>
      <c r="I101" t="e">
        <f>MATCH(D101,Pistetaulukko!D:D,0)</f>
        <v>#N/A</v>
      </c>
      <c r="J101" t="e">
        <f>INDEX(Pistetaulukko!E:E,I101)</f>
        <v>#N/A</v>
      </c>
      <c r="K101" s="2" t="e">
        <f>IF(Taulukko2[[#This Row],[Laji]]="XCO",Taulukko2[[#This Row],[PstXCO]],Taulukko2[[#This Row],[PstXCC]])</f>
        <v>#N/A</v>
      </c>
    </row>
    <row r="102" spans="1:11" ht="15" customHeight="1" x14ac:dyDescent="0.35">
      <c r="A102" t="s">
        <v>548</v>
      </c>
      <c r="B102" t="s">
        <v>670</v>
      </c>
      <c r="C102" t="s">
        <v>646</v>
      </c>
      <c r="D102">
        <v>1</v>
      </c>
      <c r="E102" t="s">
        <v>68</v>
      </c>
      <c r="F102" t="str">
        <f>INDEX(Taulukko25[Seura],MATCH(E102,Taulukko25[Nimi],0))</f>
        <v>ProMTB</v>
      </c>
      <c r="G102">
        <f>MATCH(D102,Pistetaulukko!A:A,0)</f>
        <v>3</v>
      </c>
      <c r="H102">
        <f>INDEX(Pistetaulukko!B:B,G102)</f>
        <v>30</v>
      </c>
      <c r="I102" t="e">
        <f>MATCH(D102,Pistetaulukko!D:D,0)</f>
        <v>#N/A</v>
      </c>
      <c r="J102" t="e">
        <f>INDEX(Pistetaulukko!E:E,I102)</f>
        <v>#N/A</v>
      </c>
      <c r="K102" s="2" t="e">
        <f>IF(Taulukko2[[#This Row],[Laji]]="XCO",Taulukko2[[#This Row],[PstXCO]],Taulukko2[[#This Row],[PstXCC]])</f>
        <v>#N/A</v>
      </c>
    </row>
    <row r="103" spans="1:11" ht="15" customHeight="1" x14ac:dyDescent="0.35">
      <c r="A103" t="s">
        <v>548</v>
      </c>
      <c r="B103" t="s">
        <v>670</v>
      </c>
      <c r="C103" t="s">
        <v>646</v>
      </c>
      <c r="D103">
        <v>2</v>
      </c>
      <c r="E103" t="s">
        <v>209</v>
      </c>
      <c r="F103" t="str">
        <f>INDEX(Taulukko25[Seura],MATCH(E103,Taulukko25[Nimi],0))</f>
        <v>OTC</v>
      </c>
      <c r="G103">
        <f>MATCH(D103,Pistetaulukko!A:A,0)</f>
        <v>4</v>
      </c>
      <c r="H103">
        <f>INDEX(Pistetaulukko!B:B,G103)</f>
        <v>25</v>
      </c>
      <c r="I103" t="e">
        <f>MATCH(D103,Pistetaulukko!D:D,0)</f>
        <v>#N/A</v>
      </c>
      <c r="J103" t="e">
        <f>INDEX(Pistetaulukko!E:E,I103)</f>
        <v>#N/A</v>
      </c>
      <c r="K103" s="2" t="e">
        <f>IF(Taulukko2[[#This Row],[Laji]]="XCO",Taulukko2[[#This Row],[PstXCO]],Taulukko2[[#This Row],[PstXCC]])</f>
        <v>#N/A</v>
      </c>
    </row>
    <row r="104" spans="1:11" ht="15" customHeight="1" x14ac:dyDescent="0.35">
      <c r="A104" t="s">
        <v>548</v>
      </c>
      <c r="B104" t="s">
        <v>670</v>
      </c>
      <c r="C104" t="s">
        <v>646</v>
      </c>
      <c r="D104">
        <v>3</v>
      </c>
      <c r="E104" t="s">
        <v>197</v>
      </c>
      <c r="F104" t="str">
        <f>INDEX(Taulukko25[Seura],MATCH(E104,Taulukko25[Nimi],0))</f>
        <v>PoTa</v>
      </c>
      <c r="G104">
        <f>MATCH(D104,Pistetaulukko!A:A,0)</f>
        <v>5</v>
      </c>
      <c r="H104">
        <f>INDEX(Pistetaulukko!B:B,G104)</f>
        <v>21</v>
      </c>
      <c r="I104" t="e">
        <f>MATCH(D104,Pistetaulukko!D:D,0)</f>
        <v>#N/A</v>
      </c>
      <c r="J104" t="e">
        <f>INDEX(Pistetaulukko!E:E,I104)</f>
        <v>#N/A</v>
      </c>
      <c r="K104" s="2" t="e">
        <f>IF(Taulukko2[[#This Row],[Laji]]="XCO",Taulukko2[[#This Row],[PstXCO]],Taulukko2[[#This Row],[PstXCC]])</f>
        <v>#N/A</v>
      </c>
    </row>
    <row r="105" spans="1:11" ht="15" customHeight="1" x14ac:dyDescent="0.35">
      <c r="A105" t="s">
        <v>548</v>
      </c>
      <c r="B105" t="s">
        <v>670</v>
      </c>
      <c r="C105" t="s">
        <v>646</v>
      </c>
      <c r="D105">
        <v>4</v>
      </c>
      <c r="E105" t="s">
        <v>340</v>
      </c>
      <c r="F105" t="str">
        <f>INDEX(Taulukko25[Seura],MATCH(E105,Taulukko25[Nimi],0))</f>
        <v>KorsKa</v>
      </c>
      <c r="G105">
        <f>MATCH(D105,Pistetaulukko!A:A,0)</f>
        <v>6</v>
      </c>
      <c r="H105">
        <f>INDEX(Pistetaulukko!B:B,G105)</f>
        <v>18</v>
      </c>
      <c r="I105" t="e">
        <f>MATCH(D105,Pistetaulukko!D:D,0)</f>
        <v>#N/A</v>
      </c>
      <c r="J105" t="e">
        <f>INDEX(Pistetaulukko!E:E,I105)</f>
        <v>#N/A</v>
      </c>
      <c r="K105" s="2" t="e">
        <f>IF(Taulukko2[[#This Row],[Laji]]="XCO",Taulukko2[[#This Row],[PstXCO]],Taulukko2[[#This Row],[PstXCC]])</f>
        <v>#N/A</v>
      </c>
    </row>
    <row r="106" spans="1:11" ht="15" customHeight="1" x14ac:dyDescent="0.35">
      <c r="A106" t="s">
        <v>548</v>
      </c>
      <c r="B106" t="s">
        <v>670</v>
      </c>
      <c r="C106" t="s">
        <v>683</v>
      </c>
      <c r="D106">
        <v>1</v>
      </c>
      <c r="E106" t="s">
        <v>569</v>
      </c>
      <c r="F106" t="str">
        <f>INDEX(Taulukko25[Seura],MATCH(E106,Taulukko25[Nimi],0))</f>
        <v>VlkMTB</v>
      </c>
      <c r="G106">
        <f>MATCH(D106,Pistetaulukko!A:A,0)</f>
        <v>3</v>
      </c>
      <c r="H106">
        <f>INDEX(Pistetaulukko!B:B,G106)</f>
        <v>30</v>
      </c>
      <c r="I106" t="e">
        <f>MATCH(D106,Pistetaulukko!D:D,0)</f>
        <v>#N/A</v>
      </c>
      <c r="J106" t="e">
        <f>INDEX(Pistetaulukko!E:E,I106)</f>
        <v>#N/A</v>
      </c>
      <c r="K106" s="2" t="e">
        <f>IF(Taulukko2[[#This Row],[Laji]]="XCO",Taulukko2[[#This Row],[PstXCO]],Taulukko2[[#This Row],[PstXCC]])</f>
        <v>#N/A</v>
      </c>
    </row>
    <row r="107" spans="1:11" ht="15" customHeight="1" x14ac:dyDescent="0.35">
      <c r="A107" t="s">
        <v>548</v>
      </c>
      <c r="B107" t="s">
        <v>670</v>
      </c>
      <c r="C107" t="s">
        <v>683</v>
      </c>
      <c r="D107">
        <v>2</v>
      </c>
      <c r="E107" t="s">
        <v>626</v>
      </c>
      <c r="F107" t="str">
        <f>INDEX(Taulukko25[Seura],MATCH(E107,Taulukko25[Nimi],0))</f>
        <v>Akilles</v>
      </c>
      <c r="G107">
        <f>MATCH(D107,Pistetaulukko!A:A,0)</f>
        <v>4</v>
      </c>
      <c r="H107">
        <f>INDEX(Pistetaulukko!B:B,G107)</f>
        <v>25</v>
      </c>
      <c r="I107" t="e">
        <f>MATCH(D107,Pistetaulukko!D:D,0)</f>
        <v>#N/A</v>
      </c>
      <c r="J107" t="e">
        <f>INDEX(Pistetaulukko!E:E,I107)</f>
        <v>#N/A</v>
      </c>
      <c r="K107" s="2" t="e">
        <f>IF(Taulukko2[[#This Row],[Laji]]="XCO",Taulukko2[[#This Row],[PstXCO]],Taulukko2[[#This Row],[PstXCC]])</f>
        <v>#N/A</v>
      </c>
    </row>
    <row r="108" spans="1:11" ht="15" customHeight="1" x14ac:dyDescent="0.35">
      <c r="A108" t="s">
        <v>548</v>
      </c>
      <c r="B108" t="s">
        <v>670</v>
      </c>
      <c r="C108" t="s">
        <v>683</v>
      </c>
      <c r="D108">
        <v>3</v>
      </c>
      <c r="E108" t="s">
        <v>593</v>
      </c>
      <c r="F108" t="str">
        <f>INDEX(Taulukko25[Seura],MATCH(E108,Taulukko25[Nimi],0))</f>
        <v>JYPS</v>
      </c>
      <c r="G108">
        <f>MATCH(D108,Pistetaulukko!A:A,0)</f>
        <v>5</v>
      </c>
      <c r="H108">
        <f>INDEX(Pistetaulukko!B:B,G108)</f>
        <v>21</v>
      </c>
      <c r="I108" t="e">
        <f>MATCH(D108,Pistetaulukko!D:D,0)</f>
        <v>#N/A</v>
      </c>
      <c r="J108" t="e">
        <f>INDEX(Pistetaulukko!E:E,I108)</f>
        <v>#N/A</v>
      </c>
      <c r="K108" s="2" t="e">
        <f>IF(Taulukko2[[#This Row],[Laji]]="XCO",Taulukko2[[#This Row],[PstXCO]],Taulukko2[[#This Row],[PstXCC]])</f>
        <v>#N/A</v>
      </c>
    </row>
    <row r="109" spans="1:11" ht="15" customHeight="1" x14ac:dyDescent="0.35">
      <c r="A109" t="s">
        <v>548</v>
      </c>
      <c r="B109" t="s">
        <v>670</v>
      </c>
      <c r="C109" t="s">
        <v>683</v>
      </c>
      <c r="D109">
        <v>4</v>
      </c>
      <c r="E109" t="s">
        <v>577</v>
      </c>
      <c r="F109" t="str">
        <f>INDEX(Taulukko25[Seura],MATCH(E109,Taulukko25[Nimi],0))</f>
        <v>VlkMTB</v>
      </c>
      <c r="G109">
        <f>MATCH(D109,Pistetaulukko!A:A,0)</f>
        <v>6</v>
      </c>
      <c r="H109">
        <f>INDEX(Pistetaulukko!B:B,G109)</f>
        <v>18</v>
      </c>
      <c r="I109" t="e">
        <f>MATCH(D109,Pistetaulukko!D:D,0)</f>
        <v>#N/A</v>
      </c>
      <c r="J109" t="e">
        <f>INDEX(Pistetaulukko!E:E,I109)</f>
        <v>#N/A</v>
      </c>
      <c r="K109" s="2" t="e">
        <f>IF(Taulukko2[[#This Row],[Laji]]="XCO",Taulukko2[[#This Row],[PstXCO]],Taulukko2[[#This Row],[PstXCC]])</f>
        <v>#N/A</v>
      </c>
    </row>
    <row r="110" spans="1:11" ht="15" customHeight="1" x14ac:dyDescent="0.35">
      <c r="A110" t="s">
        <v>548</v>
      </c>
      <c r="B110" t="s">
        <v>670</v>
      </c>
      <c r="C110" t="s">
        <v>683</v>
      </c>
      <c r="D110">
        <v>5</v>
      </c>
      <c r="E110" t="s">
        <v>667</v>
      </c>
      <c r="F110" t="str">
        <f>INDEX(Taulukko25[Seura],MATCH(E110,Taulukko25[Nimi],0))</f>
        <v>JYPS</v>
      </c>
      <c r="G110">
        <f>MATCH(D110,Pistetaulukko!A:A,0)</f>
        <v>7</v>
      </c>
      <c r="H110">
        <f>INDEX(Pistetaulukko!B:B,G110)</f>
        <v>16</v>
      </c>
      <c r="I110" t="e">
        <f>MATCH(D110,Pistetaulukko!D:D,0)</f>
        <v>#N/A</v>
      </c>
      <c r="J110" t="e">
        <f>INDEX(Pistetaulukko!E:E,I110)</f>
        <v>#N/A</v>
      </c>
      <c r="K110" s="2" t="e">
        <f>IF(Taulukko2[[#This Row],[Laji]]="XCO",Taulukko2[[#This Row],[PstXCO]],Taulukko2[[#This Row],[PstXCC]])</f>
        <v>#N/A</v>
      </c>
    </row>
    <row r="111" spans="1:11" ht="15" customHeight="1" x14ac:dyDescent="0.35">
      <c r="A111" t="s">
        <v>548</v>
      </c>
      <c r="B111" t="s">
        <v>670</v>
      </c>
      <c r="C111" t="s">
        <v>683</v>
      </c>
      <c r="D111">
        <v>6</v>
      </c>
      <c r="E111" t="s">
        <v>668</v>
      </c>
      <c r="F111" t="str">
        <f>INDEX(Taulukko25[Seura],MATCH(E111,Taulukko25[Nimi],0))</f>
        <v>KorsKa</v>
      </c>
      <c r="G111">
        <f>MATCH(D111,Pistetaulukko!A:A,0)</f>
        <v>8</v>
      </c>
      <c r="H111">
        <f>INDEX(Pistetaulukko!B:B,G111)</f>
        <v>14</v>
      </c>
      <c r="I111" t="e">
        <f>MATCH(D111,Pistetaulukko!D:D,0)</f>
        <v>#N/A</v>
      </c>
      <c r="J111" t="e">
        <f>INDEX(Pistetaulukko!E:E,I111)</f>
        <v>#N/A</v>
      </c>
      <c r="K111" s="2" t="e">
        <f>IF(Taulukko2[[#This Row],[Laji]]="XCO",Taulukko2[[#This Row],[PstXCO]],Taulukko2[[#This Row],[PstXCC]])</f>
        <v>#N/A</v>
      </c>
    </row>
    <row r="112" spans="1:11" ht="15" customHeight="1" x14ac:dyDescent="0.35">
      <c r="A112" t="s">
        <v>548</v>
      </c>
      <c r="B112" t="s">
        <v>670</v>
      </c>
      <c r="C112" t="s">
        <v>645</v>
      </c>
      <c r="D112">
        <v>1</v>
      </c>
      <c r="E112" t="s">
        <v>444</v>
      </c>
      <c r="F112" t="str">
        <f>INDEX(Taulukko25[Seura],MATCH(E112,Taulukko25[Nimi],0))</f>
        <v>GIF</v>
      </c>
      <c r="G112">
        <f>MATCH(D112,Pistetaulukko!A:A,0)</f>
        <v>3</v>
      </c>
      <c r="H112">
        <f>INDEX(Pistetaulukko!B:B,G112)</f>
        <v>30</v>
      </c>
      <c r="I112" t="e">
        <f>MATCH(D112,Pistetaulukko!D:D,0)</f>
        <v>#N/A</v>
      </c>
      <c r="J112" t="e">
        <f>INDEX(Pistetaulukko!E:E,I112)</f>
        <v>#N/A</v>
      </c>
      <c r="K112" s="2" t="e">
        <f>IF(Taulukko2[[#This Row],[Laji]]="XCO",Taulukko2[[#This Row],[PstXCO]],Taulukko2[[#This Row],[PstXCC]])</f>
        <v>#N/A</v>
      </c>
    </row>
    <row r="113" spans="1:11" ht="15" customHeight="1" x14ac:dyDescent="0.35">
      <c r="A113" t="s">
        <v>548</v>
      </c>
      <c r="B113" t="s">
        <v>670</v>
      </c>
      <c r="C113" t="s">
        <v>645</v>
      </c>
      <c r="D113">
        <v>2</v>
      </c>
      <c r="E113" t="s">
        <v>439</v>
      </c>
      <c r="F113" t="str">
        <f>INDEX(Taulukko25[Seura],MATCH(E113,Taulukko25[Nimi],0))</f>
        <v>Larsmo IF</v>
      </c>
      <c r="G113">
        <f>MATCH(D113,Pistetaulukko!A:A,0)</f>
        <v>4</v>
      </c>
      <c r="H113">
        <f>INDEX(Pistetaulukko!B:B,G113)</f>
        <v>25</v>
      </c>
      <c r="I113" t="e">
        <f>MATCH(D113,Pistetaulukko!D:D,0)</f>
        <v>#N/A</v>
      </c>
      <c r="J113" t="e">
        <f>INDEX(Pistetaulukko!E:E,I113)</f>
        <v>#N/A</v>
      </c>
      <c r="K113" s="2" t="e">
        <f>IF(Taulukko2[[#This Row],[Laji]]="XCO",Taulukko2[[#This Row],[PstXCO]],Taulukko2[[#This Row],[PstXCC]])</f>
        <v>#N/A</v>
      </c>
    </row>
    <row r="114" spans="1:11" ht="15" customHeight="1" x14ac:dyDescent="0.35">
      <c r="A114" t="s">
        <v>548</v>
      </c>
      <c r="B114" t="s">
        <v>670</v>
      </c>
      <c r="C114" t="s">
        <v>645</v>
      </c>
      <c r="D114">
        <v>3</v>
      </c>
      <c r="E114" t="s">
        <v>70</v>
      </c>
      <c r="F114" t="str">
        <f>INDEX(Taulukko25[Seura],MATCH(E114,Taulukko25[Nimi],0))</f>
        <v xml:space="preserve">LrPy </v>
      </c>
      <c r="G114">
        <f>MATCH(D114,Pistetaulukko!A:A,0)</f>
        <v>5</v>
      </c>
      <c r="H114">
        <f>INDEX(Pistetaulukko!B:B,G114)</f>
        <v>21</v>
      </c>
      <c r="I114" t="e">
        <f>MATCH(D114,Pistetaulukko!D:D,0)</f>
        <v>#N/A</v>
      </c>
      <c r="J114" t="e">
        <f>INDEX(Pistetaulukko!E:E,I114)</f>
        <v>#N/A</v>
      </c>
      <c r="K114" s="2" t="e">
        <f>IF(Taulukko2[[#This Row],[Laji]]="XCO",Taulukko2[[#This Row],[PstXCO]],Taulukko2[[#This Row],[PstXCC]])</f>
        <v>#N/A</v>
      </c>
    </row>
    <row r="115" spans="1:11" ht="15" customHeight="1" x14ac:dyDescent="0.35">
      <c r="A115" t="s">
        <v>548</v>
      </c>
      <c r="B115" t="s">
        <v>670</v>
      </c>
      <c r="C115" t="s">
        <v>645</v>
      </c>
      <c r="D115">
        <v>4</v>
      </c>
      <c r="E115" t="s">
        <v>71</v>
      </c>
      <c r="F115" t="str">
        <f>INDEX(Taulukko25[Seura],MATCH(E115,Taulukko25[Nimi],0))</f>
        <v>Rideep</v>
      </c>
      <c r="G115">
        <f>MATCH(D115,Pistetaulukko!A:A,0)</f>
        <v>6</v>
      </c>
      <c r="H115">
        <f>INDEX(Pistetaulukko!B:B,G115)</f>
        <v>18</v>
      </c>
      <c r="I115" t="e">
        <f>MATCH(D115,Pistetaulukko!D:D,0)</f>
        <v>#N/A</v>
      </c>
      <c r="J115" t="e">
        <f>INDEX(Pistetaulukko!E:E,I115)</f>
        <v>#N/A</v>
      </c>
      <c r="K115" s="2" t="e">
        <f>IF(Taulukko2[[#This Row],[Laji]]="XCO",Taulukko2[[#This Row],[PstXCO]],Taulukko2[[#This Row],[PstXCC]])</f>
        <v>#N/A</v>
      </c>
    </row>
    <row r="116" spans="1:11" ht="15" customHeight="1" x14ac:dyDescent="0.35">
      <c r="A116" t="s">
        <v>548</v>
      </c>
      <c r="B116" t="s">
        <v>670</v>
      </c>
      <c r="C116" t="s">
        <v>645</v>
      </c>
      <c r="D116">
        <v>5</v>
      </c>
      <c r="E116" t="s">
        <v>69</v>
      </c>
      <c r="F116" t="str">
        <f>INDEX(Taulukko25[Seura],MATCH(E116,Taulukko25[Nimi],0))</f>
        <v>ProMTB</v>
      </c>
      <c r="G116">
        <f>MATCH(D116,Pistetaulukko!A:A,0)</f>
        <v>7</v>
      </c>
      <c r="H116">
        <f>INDEX(Pistetaulukko!B:B,G116)</f>
        <v>16</v>
      </c>
      <c r="I116" t="e">
        <f>MATCH(D116,Pistetaulukko!D:D,0)</f>
        <v>#N/A</v>
      </c>
      <c r="J116" t="e">
        <f>INDEX(Pistetaulukko!E:E,I116)</f>
        <v>#N/A</v>
      </c>
      <c r="K116" s="2" t="e">
        <f>IF(Taulukko2[[#This Row],[Laji]]="XCO",Taulukko2[[#This Row],[PstXCO]],Taulukko2[[#This Row],[PstXCC]])</f>
        <v>#N/A</v>
      </c>
    </row>
    <row r="117" spans="1:11" ht="15" customHeight="1" x14ac:dyDescent="0.35">
      <c r="A117" t="s">
        <v>548</v>
      </c>
      <c r="B117" t="s">
        <v>670</v>
      </c>
      <c r="C117" t="s">
        <v>645</v>
      </c>
      <c r="D117">
        <v>6</v>
      </c>
      <c r="E117" t="s">
        <v>79</v>
      </c>
      <c r="F117" t="str">
        <f>INDEX(Taulukko25[Seura],MATCH(E117,Taulukko25[Nimi],0))</f>
        <v>VlkMTB</v>
      </c>
      <c r="G117">
        <f>MATCH(D117,Pistetaulukko!A:A,0)</f>
        <v>8</v>
      </c>
      <c r="H117">
        <f>INDEX(Pistetaulukko!B:B,G117)</f>
        <v>14</v>
      </c>
      <c r="I117" t="e">
        <f>MATCH(D117,Pistetaulukko!D:D,0)</f>
        <v>#N/A</v>
      </c>
      <c r="J117" t="e">
        <f>INDEX(Pistetaulukko!E:E,I117)</f>
        <v>#N/A</v>
      </c>
      <c r="K117" s="2" t="e">
        <f>IF(Taulukko2[[#This Row],[Laji]]="XCO",Taulukko2[[#This Row],[PstXCO]],Taulukko2[[#This Row],[PstXCC]])</f>
        <v>#N/A</v>
      </c>
    </row>
    <row r="118" spans="1:11" ht="15" customHeight="1" x14ac:dyDescent="0.35">
      <c r="A118" t="s">
        <v>548</v>
      </c>
      <c r="B118" t="s">
        <v>670</v>
      </c>
      <c r="C118" t="s">
        <v>645</v>
      </c>
      <c r="D118">
        <v>7</v>
      </c>
      <c r="E118" t="s">
        <v>75</v>
      </c>
      <c r="F118" t="str">
        <f>INDEX(Taulukko25[Seura],MATCH(E118,Taulukko25[Nimi],0))</f>
        <v>HyPy</v>
      </c>
      <c r="G118">
        <f>MATCH(D118,Pistetaulukko!A:A,0)</f>
        <v>9</v>
      </c>
      <c r="H118">
        <f>INDEX(Pistetaulukko!B:B,G118)</f>
        <v>12</v>
      </c>
      <c r="I118" t="e">
        <f>MATCH(D118,Pistetaulukko!D:D,0)</f>
        <v>#N/A</v>
      </c>
      <c r="J118" t="e">
        <f>INDEX(Pistetaulukko!E:E,I118)</f>
        <v>#N/A</v>
      </c>
      <c r="K118" s="2" t="e">
        <f>IF(Taulukko2[[#This Row],[Laji]]="XCO",Taulukko2[[#This Row],[PstXCO]],Taulukko2[[#This Row],[PstXCC]])</f>
        <v>#N/A</v>
      </c>
    </row>
    <row r="119" spans="1:11" ht="15" customHeight="1" x14ac:dyDescent="0.35">
      <c r="A119" t="s">
        <v>548</v>
      </c>
      <c r="B119" t="s">
        <v>670</v>
      </c>
      <c r="C119" t="s">
        <v>645</v>
      </c>
      <c r="D119">
        <v>8</v>
      </c>
      <c r="E119" t="s">
        <v>451</v>
      </c>
      <c r="F119" t="str">
        <f>INDEX(Taulukko25[Seura],MATCH(E119,Taulukko25[Nimi],0))</f>
        <v>KorsKa</v>
      </c>
      <c r="G119">
        <f>MATCH(D119,Pistetaulukko!A:A,0)</f>
        <v>10</v>
      </c>
      <c r="H119">
        <f>INDEX(Pistetaulukko!B:B,G119)</f>
        <v>10</v>
      </c>
      <c r="I119" t="e">
        <f>MATCH(D119,Pistetaulukko!D:D,0)</f>
        <v>#N/A</v>
      </c>
      <c r="J119" t="e">
        <f>INDEX(Pistetaulukko!E:E,I119)</f>
        <v>#N/A</v>
      </c>
      <c r="K119" s="2" t="e">
        <f>IF(Taulukko2[[#This Row],[Laji]]="XCO",Taulukko2[[#This Row],[PstXCO]],Taulukko2[[#This Row],[PstXCC]])</f>
        <v>#N/A</v>
      </c>
    </row>
    <row r="120" spans="1:11" ht="15" customHeight="1" x14ac:dyDescent="0.35">
      <c r="A120" t="s">
        <v>548</v>
      </c>
      <c r="B120" t="s">
        <v>670</v>
      </c>
      <c r="C120" t="s">
        <v>573</v>
      </c>
      <c r="D120">
        <v>1</v>
      </c>
      <c r="E120" t="s">
        <v>676</v>
      </c>
      <c r="F120" t="str">
        <f>INDEX(Taulukko25[Seura],MATCH(E120,Taulukko25[Nimi],0))</f>
        <v>OTC</v>
      </c>
      <c r="G120">
        <f>MATCH(D120,Pistetaulukko!A:A,0)</f>
        <v>3</v>
      </c>
      <c r="H120">
        <f>INDEX(Pistetaulukko!B:B,G120)</f>
        <v>30</v>
      </c>
      <c r="I120" t="e">
        <f>MATCH(D120,Pistetaulukko!D:D,0)</f>
        <v>#N/A</v>
      </c>
      <c r="J120" t="e">
        <f>INDEX(Pistetaulukko!E:E,I120)</f>
        <v>#N/A</v>
      </c>
      <c r="K120" s="2" t="e">
        <f>IF(Taulukko2[[#This Row],[Laji]]="XCO",Taulukko2[[#This Row],[PstXCO]],Taulukko2[[#This Row],[PstXCC]])</f>
        <v>#N/A</v>
      </c>
    </row>
    <row r="121" spans="1:11" ht="15" customHeight="1" x14ac:dyDescent="0.35">
      <c r="A121" t="s">
        <v>548</v>
      </c>
      <c r="B121" t="s">
        <v>670</v>
      </c>
      <c r="C121" t="s">
        <v>573</v>
      </c>
      <c r="D121">
        <v>2</v>
      </c>
      <c r="E121" t="s">
        <v>574</v>
      </c>
      <c r="F121" t="str">
        <f>INDEX(Taulukko25[Seura],MATCH(E121,Taulukko25[Nimi],0))</f>
        <v>HyPy</v>
      </c>
      <c r="G121">
        <f>MATCH(D121,Pistetaulukko!A:A,0)</f>
        <v>4</v>
      </c>
      <c r="H121">
        <f>INDEX(Pistetaulukko!B:B,G121)</f>
        <v>25</v>
      </c>
      <c r="I121" t="e">
        <f>MATCH(D121,Pistetaulukko!D:D,0)</f>
        <v>#N/A</v>
      </c>
      <c r="J121" t="e">
        <f>INDEX(Pistetaulukko!E:E,I121)</f>
        <v>#N/A</v>
      </c>
      <c r="K121" s="2" t="e">
        <f>IF(Taulukko2[[#This Row],[Laji]]="XCO",Taulukko2[[#This Row],[PstXCO]],Taulukko2[[#This Row],[PstXCC]])</f>
        <v>#N/A</v>
      </c>
    </row>
    <row r="122" spans="1:11" ht="15" customHeight="1" x14ac:dyDescent="0.35">
      <c r="A122" t="s">
        <v>548</v>
      </c>
      <c r="B122" t="s">
        <v>670</v>
      </c>
      <c r="C122" t="s">
        <v>573</v>
      </c>
      <c r="D122">
        <v>3</v>
      </c>
      <c r="E122" t="s">
        <v>575</v>
      </c>
      <c r="F122" t="str">
        <f>INDEX(Taulukko25[Seura],MATCH(E122,Taulukko25[Nimi],0))</f>
        <v>IU</v>
      </c>
      <c r="G122">
        <f>MATCH(D122,Pistetaulukko!A:A,0)</f>
        <v>5</v>
      </c>
      <c r="H122">
        <f>INDEX(Pistetaulukko!B:B,G122)</f>
        <v>21</v>
      </c>
      <c r="I122" t="e">
        <f>MATCH(D122,Pistetaulukko!D:D,0)</f>
        <v>#N/A</v>
      </c>
      <c r="J122" t="e">
        <f>INDEX(Pistetaulukko!E:E,I122)</f>
        <v>#N/A</v>
      </c>
      <c r="K122" s="2" t="e">
        <f>IF(Taulukko2[[#This Row],[Laji]]="XCO",Taulukko2[[#This Row],[PstXCO]],Taulukko2[[#This Row],[PstXCC]])</f>
        <v>#N/A</v>
      </c>
    </row>
    <row r="123" spans="1:11" ht="15" customHeight="1" x14ac:dyDescent="0.35">
      <c r="A123" t="s">
        <v>548</v>
      </c>
      <c r="B123" t="s">
        <v>670</v>
      </c>
      <c r="C123" t="s">
        <v>573</v>
      </c>
      <c r="D123">
        <v>4</v>
      </c>
      <c r="E123" t="s">
        <v>675</v>
      </c>
      <c r="F123" t="str">
        <f>INDEX(Taulukko25[Seura],MATCH(E123,Taulukko25[Nimi],0))</f>
        <v>VeloSaimaa</v>
      </c>
      <c r="G123">
        <f>MATCH(D123,Pistetaulukko!A:A,0)</f>
        <v>6</v>
      </c>
      <c r="H123">
        <f>INDEX(Pistetaulukko!B:B,G123)</f>
        <v>18</v>
      </c>
      <c r="I123" t="e">
        <f>MATCH(D123,Pistetaulukko!D:D,0)</f>
        <v>#N/A</v>
      </c>
      <c r="J123" t="e">
        <f>INDEX(Pistetaulukko!E:E,I123)</f>
        <v>#N/A</v>
      </c>
      <c r="K123" s="2" t="e">
        <f>IF(Taulukko2[[#This Row],[Laji]]="XCO",Taulukko2[[#This Row],[PstXCO]],Taulukko2[[#This Row],[PstXCC]])</f>
        <v>#N/A</v>
      </c>
    </row>
    <row r="124" spans="1:11" ht="15" customHeight="1" x14ac:dyDescent="0.35">
      <c r="A124" t="s">
        <v>548</v>
      </c>
      <c r="B124" t="s">
        <v>670</v>
      </c>
      <c r="C124" t="s">
        <v>573</v>
      </c>
      <c r="D124">
        <v>5</v>
      </c>
      <c r="E124" t="s">
        <v>576</v>
      </c>
      <c r="F124" t="str">
        <f>INDEX(Taulukko25[Seura],MATCH(E124,Taulukko25[Nimi],0))</f>
        <v>IU</v>
      </c>
      <c r="G124">
        <f>MATCH(D124,Pistetaulukko!A:A,0)</f>
        <v>7</v>
      </c>
      <c r="H124">
        <f>INDEX(Pistetaulukko!B:B,G124)</f>
        <v>16</v>
      </c>
      <c r="I124" t="e">
        <f>MATCH(D124,Pistetaulukko!D:D,0)</f>
        <v>#N/A</v>
      </c>
      <c r="J124" t="e">
        <f>INDEX(Pistetaulukko!E:E,I124)</f>
        <v>#N/A</v>
      </c>
      <c r="K124" s="2" t="e">
        <f>IF(Taulukko2[[#This Row],[Laji]]="XCO",Taulukko2[[#This Row],[PstXCO]],Taulukko2[[#This Row],[PstXCC]])</f>
        <v>#N/A</v>
      </c>
    </row>
    <row r="125" spans="1:11" ht="15" customHeight="1" x14ac:dyDescent="0.35">
      <c r="A125" t="s">
        <v>548</v>
      </c>
      <c r="B125" t="s">
        <v>670</v>
      </c>
      <c r="C125" t="s">
        <v>573</v>
      </c>
      <c r="D125">
        <v>6</v>
      </c>
      <c r="E125" t="s">
        <v>631</v>
      </c>
      <c r="F125" t="str">
        <f>INDEX(Taulukko25[Seura],MATCH(E125,Taulukko25[Nimi],0))</f>
        <v>TY</v>
      </c>
      <c r="G125">
        <f>MATCH(D125,Pistetaulukko!A:A,0)</f>
        <v>8</v>
      </c>
      <c r="H125">
        <f>INDEX(Pistetaulukko!B:B,G125)</f>
        <v>14</v>
      </c>
      <c r="I125" t="e">
        <f>MATCH(D125,Pistetaulukko!D:D,0)</f>
        <v>#N/A</v>
      </c>
      <c r="J125" t="e">
        <f>INDEX(Pistetaulukko!E:E,I125)</f>
        <v>#N/A</v>
      </c>
      <c r="K125" s="2" t="e">
        <f>IF(Taulukko2[[#This Row],[Laji]]="XCO",Taulukko2[[#This Row],[PstXCO]],Taulukko2[[#This Row],[PstXCC]])</f>
        <v>#N/A</v>
      </c>
    </row>
    <row r="126" spans="1:11" ht="15" customHeight="1" x14ac:dyDescent="0.35">
      <c r="A126" t="s">
        <v>548</v>
      </c>
      <c r="B126" t="s">
        <v>670</v>
      </c>
      <c r="C126" t="s">
        <v>573</v>
      </c>
      <c r="D126">
        <v>7</v>
      </c>
      <c r="E126" t="s">
        <v>581</v>
      </c>
      <c r="F126" t="str">
        <f>INDEX(Taulukko25[Seura],MATCH(E126,Taulukko25[Nimi],0))</f>
        <v>Rideep</v>
      </c>
      <c r="G126">
        <f>MATCH(D126,Pistetaulukko!A:A,0)</f>
        <v>9</v>
      </c>
      <c r="H126">
        <f>INDEX(Pistetaulukko!B:B,G126)</f>
        <v>12</v>
      </c>
      <c r="I126" t="e">
        <f>MATCH(D126,Pistetaulukko!D:D,0)</f>
        <v>#N/A</v>
      </c>
      <c r="J126" t="e">
        <f>INDEX(Pistetaulukko!E:E,I126)</f>
        <v>#N/A</v>
      </c>
      <c r="K126" s="2" t="e">
        <f>IF(Taulukko2[[#This Row],[Laji]]="XCO",Taulukko2[[#This Row],[PstXCO]],Taulukko2[[#This Row],[PstXCC]])</f>
        <v>#N/A</v>
      </c>
    </row>
    <row r="127" spans="1:11" ht="15" customHeight="1" x14ac:dyDescent="0.35">
      <c r="A127" t="s">
        <v>548</v>
      </c>
      <c r="B127" t="s">
        <v>670</v>
      </c>
      <c r="C127" t="s">
        <v>573</v>
      </c>
      <c r="D127">
        <v>8</v>
      </c>
      <c r="E127" t="s">
        <v>677</v>
      </c>
      <c r="F127" t="str">
        <f>INDEX(Taulukko25[Seura],MATCH(E127,Taulukko25[Nimi],0))</f>
        <v>Larsmo IF</v>
      </c>
      <c r="G127">
        <f>MATCH(D127,Pistetaulukko!A:A,0)</f>
        <v>10</v>
      </c>
      <c r="H127">
        <f>INDEX(Pistetaulukko!B:B,G127)</f>
        <v>10</v>
      </c>
      <c r="I127" t="e">
        <f>MATCH(D127,Pistetaulukko!D:D,0)</f>
        <v>#N/A</v>
      </c>
      <c r="J127" t="e">
        <f>INDEX(Pistetaulukko!E:E,I127)</f>
        <v>#N/A</v>
      </c>
      <c r="K127" s="2" t="e">
        <f>IF(Taulukko2[[#This Row],[Laji]]="XCO",Taulukko2[[#This Row],[PstXCO]],Taulukko2[[#This Row],[PstXCC]])</f>
        <v>#N/A</v>
      </c>
    </row>
    <row r="128" spans="1:11" ht="15" customHeight="1" x14ac:dyDescent="0.35">
      <c r="A128" t="s">
        <v>548</v>
      </c>
      <c r="B128" t="s">
        <v>670</v>
      </c>
      <c r="C128" t="s">
        <v>584</v>
      </c>
      <c r="D128">
        <v>1</v>
      </c>
      <c r="E128" t="s">
        <v>585</v>
      </c>
      <c r="F128" t="str">
        <f>INDEX(Taulukko25[Seura],MATCH(E128,Taulukko25[Nimi],0))</f>
        <v>Larsmo IF</v>
      </c>
      <c r="G128">
        <f>MATCH(D128,Pistetaulukko!A:A,0)</f>
        <v>3</v>
      </c>
      <c r="H128">
        <f>INDEX(Pistetaulukko!B:B,G128)</f>
        <v>30</v>
      </c>
      <c r="I128" t="e">
        <f>MATCH(D128,Pistetaulukko!D:D,0)</f>
        <v>#N/A</v>
      </c>
      <c r="J128" t="e">
        <f>INDEX(Pistetaulukko!E:E,I128)</f>
        <v>#N/A</v>
      </c>
      <c r="K128" s="2" t="e">
        <f>IF(Taulukko2[[#This Row],[Laji]]="XCO",Taulukko2[[#This Row],[PstXCO]],Taulukko2[[#This Row],[PstXCC]])</f>
        <v>#N/A</v>
      </c>
    </row>
    <row r="129" spans="1:11" ht="15" customHeight="1" x14ac:dyDescent="0.35">
      <c r="A129" t="s">
        <v>548</v>
      </c>
      <c r="B129" t="s">
        <v>670</v>
      </c>
      <c r="C129" t="s">
        <v>584</v>
      </c>
      <c r="D129">
        <v>2</v>
      </c>
      <c r="E129" t="s">
        <v>597</v>
      </c>
      <c r="F129" t="str">
        <f>INDEX(Taulukko25[Seura],MATCH(E129,Taulukko25[Nimi],0))</f>
        <v>LaPy</v>
      </c>
      <c r="G129">
        <f>MATCH(D129,Pistetaulukko!A:A,0)</f>
        <v>4</v>
      </c>
      <c r="H129">
        <f>INDEX(Pistetaulukko!B:B,G129)</f>
        <v>25</v>
      </c>
      <c r="I129" t="e">
        <f>MATCH(D129,Pistetaulukko!D:D,0)</f>
        <v>#N/A</v>
      </c>
      <c r="J129" t="e">
        <f>INDEX(Pistetaulukko!E:E,I129)</f>
        <v>#N/A</v>
      </c>
      <c r="K129" s="2" t="e">
        <f>IF(Taulukko2[[#This Row],[Laji]]="XCO",Taulukko2[[#This Row],[PstXCO]],Taulukko2[[#This Row],[PstXCC]])</f>
        <v>#N/A</v>
      </c>
    </row>
    <row r="130" spans="1:11" ht="15" customHeight="1" x14ac:dyDescent="0.35">
      <c r="A130" t="s">
        <v>548</v>
      </c>
      <c r="B130" t="s">
        <v>670</v>
      </c>
      <c r="C130" t="s">
        <v>584</v>
      </c>
      <c r="D130">
        <v>3</v>
      </c>
      <c r="E130" t="s">
        <v>586</v>
      </c>
      <c r="F130" t="str">
        <f>INDEX(Taulukko25[Seura],MATCH(E130,Taulukko25[Nimi],0))</f>
        <v>VlkMTB</v>
      </c>
      <c r="G130">
        <f>MATCH(D130,Pistetaulukko!A:A,0)</f>
        <v>5</v>
      </c>
      <c r="H130">
        <f>INDEX(Pistetaulukko!B:B,G130)</f>
        <v>21</v>
      </c>
      <c r="I130" t="e">
        <f>MATCH(D130,Pistetaulukko!D:D,0)</f>
        <v>#N/A</v>
      </c>
      <c r="J130" t="e">
        <f>INDEX(Pistetaulukko!E:E,I130)</f>
        <v>#N/A</v>
      </c>
      <c r="K130" s="2" t="e">
        <f>IF(Taulukko2[[#This Row],[Laji]]="XCO",Taulukko2[[#This Row],[PstXCO]],Taulukko2[[#This Row],[PstXCC]])</f>
        <v>#N/A</v>
      </c>
    </row>
    <row r="131" spans="1:11" ht="15" customHeight="1" x14ac:dyDescent="0.35">
      <c r="A131" t="s">
        <v>548</v>
      </c>
      <c r="B131" t="s">
        <v>670</v>
      </c>
      <c r="C131" t="s">
        <v>584</v>
      </c>
      <c r="D131">
        <v>4</v>
      </c>
      <c r="E131" t="s">
        <v>587</v>
      </c>
      <c r="F131" t="str">
        <f>INDEX(Taulukko25[Seura],MATCH(E131,Taulukko25[Nimi],0))</f>
        <v>JoensPy</v>
      </c>
      <c r="G131">
        <f>MATCH(D131,Pistetaulukko!A:A,0)</f>
        <v>6</v>
      </c>
      <c r="H131">
        <f>INDEX(Pistetaulukko!B:B,G131)</f>
        <v>18</v>
      </c>
      <c r="I131" t="e">
        <f>MATCH(D131,Pistetaulukko!D:D,0)</f>
        <v>#N/A</v>
      </c>
      <c r="J131" t="e">
        <f>INDEX(Pistetaulukko!E:E,I131)</f>
        <v>#N/A</v>
      </c>
      <c r="K131" s="2" t="e">
        <f>IF(Taulukko2[[#This Row],[Laji]]="XCO",Taulukko2[[#This Row],[PstXCO]],Taulukko2[[#This Row],[PstXCC]])</f>
        <v>#N/A</v>
      </c>
    </row>
    <row r="132" spans="1:11" ht="15" customHeight="1" x14ac:dyDescent="0.35">
      <c r="A132" t="s">
        <v>548</v>
      </c>
      <c r="B132" t="s">
        <v>670</v>
      </c>
      <c r="C132" t="s">
        <v>584</v>
      </c>
      <c r="D132">
        <v>5</v>
      </c>
      <c r="E132" t="s">
        <v>678</v>
      </c>
      <c r="F132" t="str">
        <f>INDEX(Taulukko25[Seura],MATCH(E132,Taulukko25[Nimi],0))</f>
        <v>TVC</v>
      </c>
      <c r="G132">
        <f>MATCH(D132,Pistetaulukko!A:A,0)</f>
        <v>7</v>
      </c>
      <c r="H132">
        <f>INDEX(Pistetaulukko!B:B,G132)</f>
        <v>16</v>
      </c>
      <c r="I132" t="e">
        <f>MATCH(D132,Pistetaulukko!D:D,0)</f>
        <v>#N/A</v>
      </c>
      <c r="J132" t="e">
        <f>INDEX(Pistetaulukko!E:E,I132)</f>
        <v>#N/A</v>
      </c>
      <c r="K132" s="2" t="e">
        <f>IF(Taulukko2[[#This Row],[Laji]]="XCO",Taulukko2[[#This Row],[PstXCO]],Taulukko2[[#This Row],[PstXCC]])</f>
        <v>#N/A</v>
      </c>
    </row>
    <row r="133" spans="1:11" ht="15" customHeight="1" x14ac:dyDescent="0.35">
      <c r="A133" t="s">
        <v>547</v>
      </c>
      <c r="B133" t="s">
        <v>684</v>
      </c>
      <c r="C133" t="s">
        <v>645</v>
      </c>
      <c r="D133">
        <v>1</v>
      </c>
      <c r="E133" t="s">
        <v>439</v>
      </c>
      <c r="F133" t="str">
        <f>INDEX(Taulukko25[Seura],MATCH(E133,Taulukko25[Nimi],0))</f>
        <v>Larsmo IF</v>
      </c>
      <c r="G133">
        <f>MATCH(D133,Pistetaulukko!A:A,0)</f>
        <v>3</v>
      </c>
      <c r="H133">
        <f>INDEX(Pistetaulukko!B:B,G133)</f>
        <v>30</v>
      </c>
      <c r="I133" t="e">
        <f>MATCH(D133,Pistetaulukko!D:D,0)</f>
        <v>#N/A</v>
      </c>
      <c r="J133" t="e">
        <f>INDEX(Pistetaulukko!E:E,I133)</f>
        <v>#N/A</v>
      </c>
      <c r="K133" s="2">
        <f>IF(Taulukko2[[#This Row],[Laji]]="XCO",Taulukko2[[#This Row],[PstXCO]],Taulukko2[[#This Row],[PstXCC]])</f>
        <v>30</v>
      </c>
    </row>
    <row r="134" spans="1:11" ht="15" customHeight="1" x14ac:dyDescent="0.35">
      <c r="A134" t="s">
        <v>547</v>
      </c>
      <c r="B134" t="s">
        <v>684</v>
      </c>
      <c r="C134" t="s">
        <v>645</v>
      </c>
      <c r="D134">
        <v>2</v>
      </c>
      <c r="E134" t="s">
        <v>444</v>
      </c>
      <c r="F134" t="str">
        <f>INDEX(Taulukko25[Seura],MATCH(E134,Taulukko25[Nimi],0))</f>
        <v>GIF</v>
      </c>
      <c r="G134">
        <f>MATCH(D134,Pistetaulukko!A:A,0)</f>
        <v>4</v>
      </c>
      <c r="H134">
        <f>INDEX(Pistetaulukko!B:B,G134)</f>
        <v>25</v>
      </c>
      <c r="I134" t="e">
        <f>MATCH(D134,Pistetaulukko!D:D,0)</f>
        <v>#N/A</v>
      </c>
      <c r="J134" t="e">
        <f>INDEX(Pistetaulukko!E:E,I134)</f>
        <v>#N/A</v>
      </c>
      <c r="K134" s="2">
        <f>IF(Taulukko2[[#This Row],[Laji]]="XCO",Taulukko2[[#This Row],[PstXCO]],Taulukko2[[#This Row],[PstXCC]])</f>
        <v>25</v>
      </c>
    </row>
    <row r="135" spans="1:11" ht="15" customHeight="1" x14ac:dyDescent="0.35">
      <c r="A135" t="s">
        <v>547</v>
      </c>
      <c r="B135" t="s">
        <v>684</v>
      </c>
      <c r="C135" t="s">
        <v>645</v>
      </c>
      <c r="D135">
        <v>3</v>
      </c>
      <c r="E135" t="s">
        <v>71</v>
      </c>
      <c r="F135" t="str">
        <f>INDEX(Taulukko25[Seura],MATCH(E135,Taulukko25[Nimi],0))</f>
        <v>Rideep</v>
      </c>
      <c r="G135">
        <f>MATCH(D135,Pistetaulukko!A:A,0)</f>
        <v>5</v>
      </c>
      <c r="H135">
        <f>INDEX(Pistetaulukko!B:B,G135)</f>
        <v>21</v>
      </c>
      <c r="I135" t="e">
        <f>MATCH(D135,Pistetaulukko!D:D,0)</f>
        <v>#N/A</v>
      </c>
      <c r="J135" t="e">
        <f>INDEX(Pistetaulukko!E:E,I135)</f>
        <v>#N/A</v>
      </c>
      <c r="K135" s="2">
        <f>IF(Taulukko2[[#This Row],[Laji]]="XCO",Taulukko2[[#This Row],[PstXCO]],Taulukko2[[#This Row],[PstXCC]])</f>
        <v>21</v>
      </c>
    </row>
    <row r="136" spans="1:11" ht="15" customHeight="1" x14ac:dyDescent="0.35">
      <c r="A136" t="s">
        <v>547</v>
      </c>
      <c r="B136" t="s">
        <v>684</v>
      </c>
      <c r="C136" t="s">
        <v>645</v>
      </c>
      <c r="D136">
        <v>4</v>
      </c>
      <c r="E136" t="s">
        <v>70</v>
      </c>
      <c r="F136" t="str">
        <f>INDEX(Taulukko25[Seura],MATCH(E136,Taulukko25[Nimi],0))</f>
        <v xml:space="preserve">LrPy </v>
      </c>
      <c r="G136">
        <f>MATCH(D136,Pistetaulukko!A:A,0)</f>
        <v>6</v>
      </c>
      <c r="H136">
        <f>INDEX(Pistetaulukko!B:B,G136)</f>
        <v>18</v>
      </c>
      <c r="I136" t="e">
        <f>MATCH(D136,Pistetaulukko!D:D,0)</f>
        <v>#N/A</v>
      </c>
      <c r="J136" t="e">
        <f>INDEX(Pistetaulukko!E:E,I136)</f>
        <v>#N/A</v>
      </c>
      <c r="K136" s="2">
        <f>IF(Taulukko2[[#This Row],[Laji]]="XCO",Taulukko2[[#This Row],[PstXCO]],Taulukko2[[#This Row],[PstXCC]])</f>
        <v>18</v>
      </c>
    </row>
    <row r="137" spans="1:11" ht="15" customHeight="1" x14ac:dyDescent="0.35">
      <c r="A137" t="s">
        <v>547</v>
      </c>
      <c r="B137" t="s">
        <v>684</v>
      </c>
      <c r="C137" t="s">
        <v>645</v>
      </c>
      <c r="D137">
        <v>5</v>
      </c>
      <c r="E137" t="s">
        <v>69</v>
      </c>
      <c r="F137" t="str">
        <f>INDEX(Taulukko25[Seura],MATCH(E137,Taulukko25[Nimi],0))</f>
        <v>ProMTB</v>
      </c>
      <c r="G137">
        <f>MATCH(D137,Pistetaulukko!A:A,0)</f>
        <v>7</v>
      </c>
      <c r="H137">
        <f>INDEX(Pistetaulukko!B:B,G137)</f>
        <v>16</v>
      </c>
      <c r="I137" t="e">
        <f>MATCH(D137,Pistetaulukko!D:D,0)</f>
        <v>#N/A</v>
      </c>
      <c r="J137" t="e">
        <f>INDEX(Pistetaulukko!E:E,I137)</f>
        <v>#N/A</v>
      </c>
      <c r="K137" s="2">
        <f>IF(Taulukko2[[#This Row],[Laji]]="XCO",Taulukko2[[#This Row],[PstXCO]],Taulukko2[[#This Row],[PstXCC]])</f>
        <v>16</v>
      </c>
    </row>
    <row r="138" spans="1:11" ht="15" customHeight="1" x14ac:dyDescent="0.35">
      <c r="A138" t="s">
        <v>547</v>
      </c>
      <c r="B138" t="s">
        <v>684</v>
      </c>
      <c r="C138" t="s">
        <v>645</v>
      </c>
      <c r="D138">
        <v>6</v>
      </c>
      <c r="E138" t="s">
        <v>79</v>
      </c>
      <c r="F138" t="str">
        <f>INDEX(Taulukko25[Seura],MATCH(E138,Taulukko25[Nimi],0))</f>
        <v>VlkMTB</v>
      </c>
      <c r="G138">
        <f>MATCH(D138,Pistetaulukko!A:A,0)</f>
        <v>8</v>
      </c>
      <c r="H138">
        <f>INDEX(Pistetaulukko!B:B,G138)</f>
        <v>14</v>
      </c>
      <c r="I138" t="e">
        <f>MATCH(D138,Pistetaulukko!D:D,0)</f>
        <v>#N/A</v>
      </c>
      <c r="J138" t="e">
        <f>INDEX(Pistetaulukko!E:E,I138)</f>
        <v>#N/A</v>
      </c>
      <c r="K138" s="2">
        <f>IF(Taulukko2[[#This Row],[Laji]]="XCO",Taulukko2[[#This Row],[PstXCO]],Taulukko2[[#This Row],[PstXCC]])</f>
        <v>14</v>
      </c>
    </row>
    <row r="139" spans="1:11" ht="15" customHeight="1" x14ac:dyDescent="0.35">
      <c r="A139" t="s">
        <v>547</v>
      </c>
      <c r="B139" t="s">
        <v>684</v>
      </c>
      <c r="C139" t="s">
        <v>645</v>
      </c>
      <c r="D139">
        <v>7</v>
      </c>
      <c r="E139" t="s">
        <v>75</v>
      </c>
      <c r="F139" t="str">
        <f>INDEX(Taulukko25[Seura],MATCH(E139,Taulukko25[Nimi],0))</f>
        <v>HyPy</v>
      </c>
      <c r="G139">
        <f>MATCH(D139,Pistetaulukko!A:A,0)</f>
        <v>9</v>
      </c>
      <c r="H139">
        <f>INDEX(Pistetaulukko!B:B,G139)</f>
        <v>12</v>
      </c>
      <c r="I139" t="e">
        <f>MATCH(D139,Pistetaulukko!D:D,0)</f>
        <v>#N/A</v>
      </c>
      <c r="J139" t="e">
        <f>INDEX(Pistetaulukko!E:E,I139)</f>
        <v>#N/A</v>
      </c>
      <c r="K139" s="2">
        <f>IF(Taulukko2[[#This Row],[Laji]]="XCO",Taulukko2[[#This Row],[PstXCO]],Taulukko2[[#This Row],[PstXCC]])</f>
        <v>12</v>
      </c>
    </row>
    <row r="140" spans="1:11" ht="15" customHeight="1" x14ac:dyDescent="0.35">
      <c r="A140" t="s">
        <v>547</v>
      </c>
      <c r="B140" t="s">
        <v>684</v>
      </c>
      <c r="C140" t="s">
        <v>645</v>
      </c>
      <c r="D140">
        <v>8</v>
      </c>
      <c r="E140" t="s">
        <v>669</v>
      </c>
      <c r="F140" t="str">
        <f>INDEX(Taulukko25[Seura],MATCH(E140,Taulukko25[Nimi],0))</f>
        <v>HyPy</v>
      </c>
      <c r="G140">
        <f>MATCH(D140,Pistetaulukko!A:A,0)</f>
        <v>10</v>
      </c>
      <c r="H140">
        <f>INDEX(Pistetaulukko!B:B,G140)</f>
        <v>10</v>
      </c>
      <c r="I140" t="e">
        <f>MATCH(D140,Pistetaulukko!D:D,0)</f>
        <v>#N/A</v>
      </c>
      <c r="J140" t="e">
        <f>INDEX(Pistetaulukko!E:E,I140)</f>
        <v>#N/A</v>
      </c>
      <c r="K140" s="2">
        <f>IF(Taulukko2[[#This Row],[Laji]]="XCO",Taulukko2[[#This Row],[PstXCO]],Taulukko2[[#This Row],[PstXCC]])</f>
        <v>10</v>
      </c>
    </row>
    <row r="141" spans="1:11" ht="15" customHeight="1" x14ac:dyDescent="0.35">
      <c r="A141" t="s">
        <v>547</v>
      </c>
      <c r="B141" t="s">
        <v>684</v>
      </c>
      <c r="C141" t="s">
        <v>645</v>
      </c>
      <c r="D141">
        <v>9</v>
      </c>
      <c r="E141" t="s">
        <v>206</v>
      </c>
      <c r="F141" t="str">
        <f>INDEX(Taulukko25[Seura],MATCH(E141,Taulukko25[Nimi],0))</f>
        <v>OTC</v>
      </c>
      <c r="G141">
        <f>MATCH(D141,Pistetaulukko!A:A,0)</f>
        <v>11</v>
      </c>
      <c r="H141">
        <f>INDEX(Pistetaulukko!B:B,G141)</f>
        <v>8</v>
      </c>
      <c r="I141" t="e">
        <f>MATCH(D141,Pistetaulukko!D:D,0)</f>
        <v>#N/A</v>
      </c>
      <c r="J141" t="e">
        <f>INDEX(Pistetaulukko!E:E,I141)</f>
        <v>#N/A</v>
      </c>
      <c r="K141" s="2">
        <f>IF(Taulukko2[[#This Row],[Laji]]="XCO",Taulukko2[[#This Row],[PstXCO]],Taulukko2[[#This Row],[PstXCC]])</f>
        <v>8</v>
      </c>
    </row>
    <row r="142" spans="1:11" ht="15" customHeight="1" x14ac:dyDescent="0.35">
      <c r="A142" t="s">
        <v>547</v>
      </c>
      <c r="B142" t="s">
        <v>684</v>
      </c>
      <c r="C142" t="s">
        <v>682</v>
      </c>
      <c r="D142">
        <v>1</v>
      </c>
      <c r="E142" t="s">
        <v>590</v>
      </c>
      <c r="F142" t="str">
        <f>INDEX(Taulukko25[Seura],MATCH(E142,Taulukko25[Nimi],0))</f>
        <v>JYPS</v>
      </c>
      <c r="G142">
        <f>MATCH(D142,Pistetaulukko!A:A,0)</f>
        <v>3</v>
      </c>
      <c r="H142">
        <f>INDEX(Pistetaulukko!B:B,G142)</f>
        <v>30</v>
      </c>
      <c r="I142" t="e">
        <f>MATCH(D142,Pistetaulukko!D:D,0)</f>
        <v>#N/A</v>
      </c>
      <c r="J142" t="e">
        <f>INDEX(Pistetaulukko!E:E,I142)</f>
        <v>#N/A</v>
      </c>
      <c r="K142" s="2">
        <f>IF(Taulukko2[[#This Row],[Laji]]="XCO",Taulukko2[[#This Row],[PstXCO]],Taulukko2[[#This Row],[PstXCC]])</f>
        <v>30</v>
      </c>
    </row>
    <row r="143" spans="1:11" ht="15" customHeight="1" x14ac:dyDescent="0.35">
      <c r="A143" t="s">
        <v>547</v>
      </c>
      <c r="B143" t="s">
        <v>684</v>
      </c>
      <c r="C143" t="s">
        <v>682</v>
      </c>
      <c r="D143">
        <v>2</v>
      </c>
      <c r="E143" t="s">
        <v>563</v>
      </c>
      <c r="F143" t="str">
        <f>INDEX(Taulukko25[Seura],MATCH(E143,Taulukko25[Nimi],0))</f>
        <v>KorsKa</v>
      </c>
      <c r="G143">
        <f>MATCH(D143,Pistetaulukko!A:A,0)</f>
        <v>4</v>
      </c>
      <c r="H143">
        <f>INDEX(Pistetaulukko!B:B,G143)</f>
        <v>25</v>
      </c>
      <c r="I143" t="e">
        <f>MATCH(D143,Pistetaulukko!D:D,0)</f>
        <v>#N/A</v>
      </c>
      <c r="J143" t="e">
        <f>INDEX(Pistetaulukko!E:E,I143)</f>
        <v>#N/A</v>
      </c>
      <c r="K143" s="2">
        <f>IF(Taulukko2[[#This Row],[Laji]]="XCO",Taulukko2[[#This Row],[PstXCO]],Taulukko2[[#This Row],[PstXCC]])</f>
        <v>25</v>
      </c>
    </row>
    <row r="144" spans="1:11" ht="15" customHeight="1" x14ac:dyDescent="0.35">
      <c r="A144" t="s">
        <v>547</v>
      </c>
      <c r="B144" t="s">
        <v>684</v>
      </c>
      <c r="C144" t="s">
        <v>682</v>
      </c>
      <c r="D144">
        <v>3</v>
      </c>
      <c r="E144" t="s">
        <v>625</v>
      </c>
      <c r="F144" t="str">
        <f>INDEX(Taulukko25[Seura],MATCH(E144,Taulukko25[Nimi],0))</f>
        <v>RSR</v>
      </c>
      <c r="G144">
        <f>MATCH(D144,Pistetaulukko!A:A,0)</f>
        <v>5</v>
      </c>
      <c r="H144">
        <f>INDEX(Pistetaulukko!B:B,G144)</f>
        <v>21</v>
      </c>
      <c r="I144" t="e">
        <f>MATCH(D144,Pistetaulukko!D:D,0)</f>
        <v>#N/A</v>
      </c>
      <c r="J144" t="e">
        <f>INDEX(Pistetaulukko!E:E,I144)</f>
        <v>#N/A</v>
      </c>
      <c r="K144" s="2">
        <f>IF(Taulukko2[[#This Row],[Laji]]="XCO",Taulukko2[[#This Row],[PstXCO]],Taulukko2[[#This Row],[PstXCC]])</f>
        <v>21</v>
      </c>
    </row>
    <row r="145" spans="1:11" ht="15" customHeight="1" x14ac:dyDescent="0.35">
      <c r="A145" t="s">
        <v>547</v>
      </c>
      <c r="B145" t="s">
        <v>684</v>
      </c>
      <c r="C145" t="s">
        <v>682</v>
      </c>
      <c r="D145">
        <v>4</v>
      </c>
      <c r="E145" t="s">
        <v>663</v>
      </c>
      <c r="F145" t="str">
        <f>INDEX(Taulukko25[Seura],MATCH(E145,Taulukko25[Nimi],0))</f>
        <v>OTC</v>
      </c>
      <c r="G145">
        <f>MATCH(D145,Pistetaulukko!A:A,0)</f>
        <v>6</v>
      </c>
      <c r="H145">
        <f>INDEX(Pistetaulukko!B:B,G145)</f>
        <v>18</v>
      </c>
      <c r="I145" t="e">
        <f>MATCH(D145,Pistetaulukko!D:D,0)</f>
        <v>#N/A</v>
      </c>
      <c r="J145" t="e">
        <f>INDEX(Pistetaulukko!E:E,I145)</f>
        <v>#N/A</v>
      </c>
      <c r="K145" s="2">
        <f>IF(Taulukko2[[#This Row],[Laji]]="XCO",Taulukko2[[#This Row],[PstXCO]],Taulukko2[[#This Row],[PstXCC]])</f>
        <v>18</v>
      </c>
    </row>
    <row r="146" spans="1:11" ht="15" customHeight="1" x14ac:dyDescent="0.35">
      <c r="A146" t="s">
        <v>547</v>
      </c>
      <c r="B146" t="s">
        <v>684</v>
      </c>
      <c r="C146" t="s">
        <v>682</v>
      </c>
      <c r="D146">
        <v>5</v>
      </c>
      <c r="E146" t="s">
        <v>560</v>
      </c>
      <c r="F146" t="str">
        <f>INDEX(Taulukko25[Seura],MATCH(E146,Taulukko25[Nimi],0))</f>
        <v>OP-P</v>
      </c>
      <c r="G146">
        <f>MATCH(D146,Pistetaulukko!A:A,0)</f>
        <v>7</v>
      </c>
      <c r="H146">
        <f>INDEX(Pistetaulukko!B:B,G146)</f>
        <v>16</v>
      </c>
      <c r="I146" t="e">
        <f>MATCH(D146,Pistetaulukko!D:D,0)</f>
        <v>#N/A</v>
      </c>
      <c r="J146" t="e">
        <f>INDEX(Pistetaulukko!E:E,I146)</f>
        <v>#N/A</v>
      </c>
      <c r="K146" s="2">
        <f>IF(Taulukko2[[#This Row],[Laji]]="XCO",Taulukko2[[#This Row],[PstXCO]],Taulukko2[[#This Row],[PstXCC]])</f>
        <v>16</v>
      </c>
    </row>
    <row r="147" spans="1:11" ht="15" customHeight="1" x14ac:dyDescent="0.35">
      <c r="A147" t="s">
        <v>547</v>
      </c>
      <c r="B147" t="s">
        <v>684</v>
      </c>
      <c r="C147" t="s">
        <v>683</v>
      </c>
      <c r="D147">
        <v>1</v>
      </c>
      <c r="E147" t="s">
        <v>569</v>
      </c>
      <c r="F147" t="str">
        <f>INDEX(Taulukko25[Seura],MATCH(E147,Taulukko25[Nimi],0))</f>
        <v>VlkMTB</v>
      </c>
      <c r="G147">
        <f>MATCH(D147,Pistetaulukko!A:A,0)</f>
        <v>3</v>
      </c>
      <c r="H147">
        <f>INDEX(Pistetaulukko!B:B,G147)</f>
        <v>30</v>
      </c>
      <c r="I147" t="e">
        <f>MATCH(D147,Pistetaulukko!D:D,0)</f>
        <v>#N/A</v>
      </c>
      <c r="J147" t="e">
        <f>INDEX(Pistetaulukko!E:E,I147)</f>
        <v>#N/A</v>
      </c>
      <c r="K147" s="2">
        <f>IF(Taulukko2[[#This Row],[Laji]]="XCO",Taulukko2[[#This Row],[PstXCO]],Taulukko2[[#This Row],[PstXCC]])</f>
        <v>30</v>
      </c>
    </row>
    <row r="148" spans="1:11" ht="15" customHeight="1" x14ac:dyDescent="0.35">
      <c r="A148" t="s">
        <v>547</v>
      </c>
      <c r="B148" t="s">
        <v>684</v>
      </c>
      <c r="C148" t="s">
        <v>683</v>
      </c>
      <c r="D148">
        <v>2</v>
      </c>
      <c r="E148" t="s">
        <v>593</v>
      </c>
      <c r="F148" t="str">
        <f>INDEX(Taulukko25[Seura],MATCH(E148,Taulukko25[Nimi],0))</f>
        <v>JYPS</v>
      </c>
      <c r="G148">
        <f>MATCH(D148,Pistetaulukko!A:A,0)</f>
        <v>4</v>
      </c>
      <c r="H148">
        <f>INDEX(Pistetaulukko!B:B,G148)</f>
        <v>25</v>
      </c>
      <c r="I148" t="e">
        <f>MATCH(D148,Pistetaulukko!D:D,0)</f>
        <v>#N/A</v>
      </c>
      <c r="J148" t="e">
        <f>INDEX(Pistetaulukko!E:E,I148)</f>
        <v>#N/A</v>
      </c>
      <c r="K148" s="2">
        <f>IF(Taulukko2[[#This Row],[Laji]]="XCO",Taulukko2[[#This Row],[PstXCO]],Taulukko2[[#This Row],[PstXCC]])</f>
        <v>25</v>
      </c>
    </row>
    <row r="149" spans="1:11" ht="15" customHeight="1" x14ac:dyDescent="0.35">
      <c r="A149" t="s">
        <v>547</v>
      </c>
      <c r="B149" t="s">
        <v>684</v>
      </c>
      <c r="C149" t="s">
        <v>683</v>
      </c>
      <c r="D149">
        <v>3</v>
      </c>
      <c r="E149" t="s">
        <v>568</v>
      </c>
      <c r="F149" t="str">
        <f>INDEX(Taulukko25[Seura],MATCH(E149,Taulukko25[Nimi],0))</f>
        <v>HyPy</v>
      </c>
      <c r="G149">
        <f>MATCH(D149,Pistetaulukko!A:A,0)</f>
        <v>5</v>
      </c>
      <c r="H149">
        <f>INDEX(Pistetaulukko!B:B,G149)</f>
        <v>21</v>
      </c>
      <c r="I149" t="e">
        <f>MATCH(D149,Pistetaulukko!D:D,0)</f>
        <v>#N/A</v>
      </c>
      <c r="J149" t="e">
        <f>INDEX(Pistetaulukko!E:E,I149)</f>
        <v>#N/A</v>
      </c>
      <c r="K149" s="2">
        <f>IF(Taulukko2[[#This Row],[Laji]]="XCO",Taulukko2[[#This Row],[PstXCO]],Taulukko2[[#This Row],[PstXCC]])</f>
        <v>21</v>
      </c>
    </row>
    <row r="150" spans="1:11" ht="15" customHeight="1" x14ac:dyDescent="0.35">
      <c r="A150" t="s">
        <v>547</v>
      </c>
      <c r="B150" t="s">
        <v>684</v>
      </c>
      <c r="C150" t="s">
        <v>661</v>
      </c>
      <c r="D150">
        <v>1</v>
      </c>
      <c r="E150" t="s">
        <v>671</v>
      </c>
      <c r="F150" t="str">
        <f>INDEX(Taulukko25[Seura],MATCH(E150,Taulukko25[Nimi],0))</f>
        <v>PVCC</v>
      </c>
      <c r="G150">
        <f>MATCH(D150,Pistetaulukko!A:A,0)</f>
        <v>3</v>
      </c>
      <c r="H150">
        <f>INDEX(Pistetaulukko!B:B,G150)</f>
        <v>30</v>
      </c>
      <c r="I150" t="e">
        <f>MATCH(D150,Pistetaulukko!D:D,0)</f>
        <v>#N/A</v>
      </c>
      <c r="J150" t="e">
        <f>INDEX(Pistetaulukko!E:E,I150)</f>
        <v>#N/A</v>
      </c>
      <c r="K150" s="2">
        <f>IF(Taulukko2[[#This Row],[Laji]]="XCO",Taulukko2[[#This Row],[PstXCO]],Taulukko2[[#This Row],[PstXCC]])</f>
        <v>30</v>
      </c>
    </row>
    <row r="151" spans="1:11" ht="15" customHeight="1" x14ac:dyDescent="0.35">
      <c r="A151" t="s">
        <v>547</v>
      </c>
      <c r="B151" t="s">
        <v>684</v>
      </c>
      <c r="C151" t="s">
        <v>672</v>
      </c>
      <c r="D151">
        <v>1</v>
      </c>
      <c r="E151" t="s">
        <v>673</v>
      </c>
      <c r="F151" t="str">
        <f>INDEX(Taulukko25[Seura],MATCH(E151,Taulukko25[Nimi],0))</f>
        <v>KangKi</v>
      </c>
      <c r="G151">
        <f>MATCH(D151,Pistetaulukko!A:A,0)</f>
        <v>3</v>
      </c>
      <c r="H151">
        <f>INDEX(Pistetaulukko!B:B,G151)</f>
        <v>30</v>
      </c>
      <c r="I151" t="e">
        <f>MATCH(D151,Pistetaulukko!D:D,0)</f>
        <v>#N/A</v>
      </c>
      <c r="J151" t="e">
        <f>INDEX(Pistetaulukko!E:E,I151)</f>
        <v>#N/A</v>
      </c>
      <c r="K151" s="2">
        <f>IF(Taulukko2[[#This Row],[Laji]]="XCO",Taulukko2[[#This Row],[PstXCO]],Taulukko2[[#This Row],[PstXCC]])</f>
        <v>30</v>
      </c>
    </row>
    <row r="152" spans="1:11" ht="15" customHeight="1" x14ac:dyDescent="0.35">
      <c r="A152" t="s">
        <v>547</v>
      </c>
      <c r="B152" t="s">
        <v>684</v>
      </c>
      <c r="C152" t="s">
        <v>553</v>
      </c>
      <c r="D152">
        <v>1</v>
      </c>
      <c r="E152" t="s">
        <v>555</v>
      </c>
      <c r="F152" t="str">
        <f>INDEX(Taulukko25[Seura],MATCH(E152,Taulukko25[Nimi],0))</f>
        <v>VlkMTB</v>
      </c>
      <c r="G152">
        <f>MATCH(D152,Pistetaulukko!A:A,0)</f>
        <v>3</v>
      </c>
      <c r="H152">
        <f>INDEX(Pistetaulukko!B:B,G152)</f>
        <v>30</v>
      </c>
      <c r="I152" t="e">
        <f>MATCH(D152,Pistetaulukko!D:D,0)</f>
        <v>#N/A</v>
      </c>
      <c r="J152" t="e">
        <f>INDEX(Pistetaulukko!E:E,I152)</f>
        <v>#N/A</v>
      </c>
      <c r="K152" s="2">
        <f>IF(Taulukko2[[#This Row],[Laji]]="XCO",Taulukko2[[#This Row],[PstXCO]],Taulukko2[[#This Row],[PstXCC]])</f>
        <v>30</v>
      </c>
    </row>
    <row r="153" spans="1:11" ht="15" customHeight="1" x14ac:dyDescent="0.35">
      <c r="A153" t="s">
        <v>547</v>
      </c>
      <c r="B153" t="s">
        <v>684</v>
      </c>
      <c r="C153" t="s">
        <v>553</v>
      </c>
      <c r="D153">
        <v>2</v>
      </c>
      <c r="E153" t="s">
        <v>556</v>
      </c>
      <c r="F153" t="str">
        <f>INDEX(Taulukko25[Seura],MATCH(E153,Taulukko25[Nimi],0))</f>
        <v>Rideep</v>
      </c>
      <c r="G153">
        <f>MATCH(D153,Pistetaulukko!A:A,0)</f>
        <v>4</v>
      </c>
      <c r="H153">
        <f>INDEX(Pistetaulukko!B:B,G153)</f>
        <v>25</v>
      </c>
      <c r="I153" t="e">
        <f>MATCH(D153,Pistetaulukko!D:D,0)</f>
        <v>#N/A</v>
      </c>
      <c r="J153" t="e">
        <f>INDEX(Pistetaulukko!E:E,I153)</f>
        <v>#N/A</v>
      </c>
      <c r="K153" s="2">
        <f>IF(Taulukko2[[#This Row],[Laji]]="XCO",Taulukko2[[#This Row],[PstXCO]],Taulukko2[[#This Row],[PstXCC]])</f>
        <v>25</v>
      </c>
    </row>
    <row r="154" spans="1:11" ht="15" customHeight="1" x14ac:dyDescent="0.35">
      <c r="A154" t="s">
        <v>547</v>
      </c>
      <c r="B154" t="s">
        <v>684</v>
      </c>
      <c r="C154" t="s">
        <v>553</v>
      </c>
      <c r="D154">
        <v>3</v>
      </c>
      <c r="E154" t="s">
        <v>674</v>
      </c>
      <c r="F154" t="str">
        <f>INDEX(Taulukko25[Seura],MATCH(E154,Taulukko25[Nimi],0))</f>
        <v>JäPy</v>
      </c>
      <c r="G154">
        <f>MATCH(D154,Pistetaulukko!A:A,0)</f>
        <v>5</v>
      </c>
      <c r="H154">
        <f>INDEX(Pistetaulukko!B:B,G154)</f>
        <v>21</v>
      </c>
      <c r="I154" t="e">
        <f>MATCH(D154,Pistetaulukko!D:D,0)</f>
        <v>#N/A</v>
      </c>
      <c r="J154" t="e">
        <f>INDEX(Pistetaulukko!E:E,I154)</f>
        <v>#N/A</v>
      </c>
      <c r="K154" s="2">
        <f>IF(Taulukko2[[#This Row],[Laji]]="XCO",Taulukko2[[#This Row],[PstXCO]],Taulukko2[[#This Row],[PstXCC]])</f>
        <v>21</v>
      </c>
    </row>
    <row r="155" spans="1:11" ht="15" customHeight="1" x14ac:dyDescent="0.35">
      <c r="A155" t="s">
        <v>547</v>
      </c>
      <c r="B155" t="s">
        <v>684</v>
      </c>
      <c r="C155" t="s">
        <v>573</v>
      </c>
      <c r="D155">
        <v>1</v>
      </c>
      <c r="E155" t="s">
        <v>675</v>
      </c>
      <c r="F155" t="str">
        <f>INDEX(Taulukko25[Seura],MATCH(E155,Taulukko25[Nimi],0))</f>
        <v>VeloSaimaa</v>
      </c>
      <c r="G155">
        <f>MATCH(D155,Pistetaulukko!A:A,0)</f>
        <v>3</v>
      </c>
      <c r="H155">
        <f>INDEX(Pistetaulukko!B:B,G155)</f>
        <v>30</v>
      </c>
      <c r="I155" t="e">
        <f>MATCH(D155,Pistetaulukko!D:D,0)</f>
        <v>#N/A</v>
      </c>
      <c r="J155" t="e">
        <f>INDEX(Pistetaulukko!E:E,I155)</f>
        <v>#N/A</v>
      </c>
      <c r="K155" s="2">
        <f>IF(Taulukko2[[#This Row],[Laji]]="XCO",Taulukko2[[#This Row],[PstXCO]],Taulukko2[[#This Row],[PstXCC]])</f>
        <v>30</v>
      </c>
    </row>
    <row r="156" spans="1:11" ht="15" customHeight="1" x14ac:dyDescent="0.35">
      <c r="A156" t="s">
        <v>547</v>
      </c>
      <c r="B156" t="s">
        <v>684</v>
      </c>
      <c r="C156" t="s">
        <v>573</v>
      </c>
      <c r="D156">
        <v>2</v>
      </c>
      <c r="E156" t="s">
        <v>575</v>
      </c>
      <c r="F156" t="str">
        <f>INDEX(Taulukko25[Seura],MATCH(E156,Taulukko25[Nimi],0))</f>
        <v>IU</v>
      </c>
      <c r="G156">
        <f>MATCH(D156,Pistetaulukko!A:A,0)</f>
        <v>4</v>
      </c>
      <c r="H156">
        <f>INDEX(Pistetaulukko!B:B,G156)</f>
        <v>25</v>
      </c>
      <c r="I156" t="e">
        <f>MATCH(D156,Pistetaulukko!D:D,0)</f>
        <v>#N/A</v>
      </c>
      <c r="J156" t="e">
        <f>INDEX(Pistetaulukko!E:E,I156)</f>
        <v>#N/A</v>
      </c>
      <c r="K156" s="2">
        <f>IF(Taulukko2[[#This Row],[Laji]]="XCO",Taulukko2[[#This Row],[PstXCO]],Taulukko2[[#This Row],[PstXCC]])</f>
        <v>25</v>
      </c>
    </row>
    <row r="157" spans="1:11" ht="15" customHeight="1" x14ac:dyDescent="0.35">
      <c r="A157" t="s">
        <v>547</v>
      </c>
      <c r="B157" t="s">
        <v>684</v>
      </c>
      <c r="C157" t="s">
        <v>573</v>
      </c>
      <c r="D157">
        <v>3</v>
      </c>
      <c r="E157" t="s">
        <v>574</v>
      </c>
      <c r="F157" t="str">
        <f>INDEX(Taulukko25[Seura],MATCH(E157,Taulukko25[Nimi],0))</f>
        <v>HyPy</v>
      </c>
      <c r="G157">
        <f>MATCH(D157,Pistetaulukko!A:A,0)</f>
        <v>5</v>
      </c>
      <c r="H157">
        <f>INDEX(Pistetaulukko!B:B,G157)</f>
        <v>21</v>
      </c>
      <c r="I157" t="e">
        <f>MATCH(D157,Pistetaulukko!D:D,0)</f>
        <v>#N/A</v>
      </c>
      <c r="J157" t="e">
        <f>INDEX(Pistetaulukko!E:E,I157)</f>
        <v>#N/A</v>
      </c>
      <c r="K157" s="2">
        <f>IF(Taulukko2[[#This Row],[Laji]]="XCO",Taulukko2[[#This Row],[PstXCO]],Taulukko2[[#This Row],[PstXCC]])</f>
        <v>21</v>
      </c>
    </row>
    <row r="158" spans="1:11" ht="15" customHeight="1" x14ac:dyDescent="0.35">
      <c r="A158" t="s">
        <v>547</v>
      </c>
      <c r="B158" t="s">
        <v>684</v>
      </c>
      <c r="C158" t="s">
        <v>573</v>
      </c>
      <c r="D158">
        <v>4</v>
      </c>
      <c r="E158" t="s">
        <v>676</v>
      </c>
      <c r="F158" t="str">
        <f>INDEX(Taulukko25[Seura],MATCH(E158,Taulukko25[Nimi],0))</f>
        <v>OTC</v>
      </c>
      <c r="G158">
        <f>MATCH(D158,Pistetaulukko!A:A,0)</f>
        <v>6</v>
      </c>
      <c r="H158">
        <f>INDEX(Pistetaulukko!B:B,G158)</f>
        <v>18</v>
      </c>
      <c r="I158" t="e">
        <f>MATCH(D158,Pistetaulukko!D:D,0)</f>
        <v>#N/A</v>
      </c>
      <c r="J158" t="e">
        <f>INDEX(Pistetaulukko!E:E,I158)</f>
        <v>#N/A</v>
      </c>
      <c r="K158" s="2">
        <f>IF(Taulukko2[[#This Row],[Laji]]="XCO",Taulukko2[[#This Row],[PstXCO]],Taulukko2[[#This Row],[PstXCC]])</f>
        <v>18</v>
      </c>
    </row>
    <row r="159" spans="1:11" ht="15" customHeight="1" x14ac:dyDescent="0.35">
      <c r="A159" t="s">
        <v>547</v>
      </c>
      <c r="B159" t="s">
        <v>684</v>
      </c>
      <c r="C159" t="s">
        <v>573</v>
      </c>
      <c r="D159">
        <v>5</v>
      </c>
      <c r="E159" t="s">
        <v>579</v>
      </c>
      <c r="F159" t="str">
        <f>INDEX(Taulukko25[Seura],MATCH(E159,Taulukko25[Nimi],0))</f>
        <v>IK-32</v>
      </c>
      <c r="G159">
        <f>MATCH(D159,Pistetaulukko!A:A,0)</f>
        <v>7</v>
      </c>
      <c r="H159">
        <f>INDEX(Pistetaulukko!B:B,G159)</f>
        <v>16</v>
      </c>
      <c r="I159" t="e">
        <f>MATCH(D159,Pistetaulukko!D:D,0)</f>
        <v>#N/A</v>
      </c>
      <c r="J159" t="e">
        <f>INDEX(Pistetaulukko!E:E,I159)</f>
        <v>#N/A</v>
      </c>
      <c r="K159" s="2">
        <f>IF(Taulukko2[[#This Row],[Laji]]="XCO",Taulukko2[[#This Row],[PstXCO]],Taulukko2[[#This Row],[PstXCC]])</f>
        <v>16</v>
      </c>
    </row>
    <row r="160" spans="1:11" ht="15" customHeight="1" x14ac:dyDescent="0.35">
      <c r="A160" t="s">
        <v>547</v>
      </c>
      <c r="B160" t="s">
        <v>684</v>
      </c>
      <c r="C160" t="s">
        <v>573</v>
      </c>
      <c r="D160">
        <v>6</v>
      </c>
      <c r="E160" t="s">
        <v>659</v>
      </c>
      <c r="F160" t="str">
        <f>INDEX(Taulukko25[Seura],MATCH(E160,Taulukko25[Nimi],0))</f>
        <v>OP-P</v>
      </c>
      <c r="G160">
        <f>MATCH(D160,Pistetaulukko!A:A,0)</f>
        <v>8</v>
      </c>
      <c r="H160">
        <f>INDEX(Pistetaulukko!B:B,G160)</f>
        <v>14</v>
      </c>
      <c r="I160" t="e">
        <f>MATCH(D160,Pistetaulukko!D:D,0)</f>
        <v>#N/A</v>
      </c>
      <c r="J160" t="e">
        <f>INDEX(Pistetaulukko!E:E,I160)</f>
        <v>#N/A</v>
      </c>
      <c r="K160" s="2">
        <f>IF(Taulukko2[[#This Row],[Laji]]="XCO",Taulukko2[[#This Row],[PstXCO]],Taulukko2[[#This Row],[PstXCC]])</f>
        <v>14</v>
      </c>
    </row>
    <row r="161" spans="1:11" ht="15" customHeight="1" x14ac:dyDescent="0.35">
      <c r="A161" t="s">
        <v>547</v>
      </c>
      <c r="B161" t="s">
        <v>684</v>
      </c>
      <c r="C161" t="s">
        <v>573</v>
      </c>
      <c r="D161">
        <v>7</v>
      </c>
      <c r="E161" t="s">
        <v>631</v>
      </c>
      <c r="F161" t="str">
        <f>INDEX(Taulukko25[Seura],MATCH(E161,Taulukko25[Nimi],0))</f>
        <v>TY</v>
      </c>
      <c r="G161">
        <f>MATCH(D161,Pistetaulukko!A:A,0)</f>
        <v>9</v>
      </c>
      <c r="H161">
        <f>INDEX(Pistetaulukko!B:B,G161)</f>
        <v>12</v>
      </c>
      <c r="I161" t="e">
        <f>MATCH(D161,Pistetaulukko!D:D,0)</f>
        <v>#N/A</v>
      </c>
      <c r="J161" t="e">
        <f>INDEX(Pistetaulukko!E:E,I161)</f>
        <v>#N/A</v>
      </c>
      <c r="K161" s="2">
        <f>IF(Taulukko2[[#This Row],[Laji]]="XCO",Taulukko2[[#This Row],[PstXCO]],Taulukko2[[#This Row],[PstXCC]])</f>
        <v>12</v>
      </c>
    </row>
    <row r="162" spans="1:11" ht="15" customHeight="1" x14ac:dyDescent="0.35">
      <c r="A162" t="s">
        <v>547</v>
      </c>
      <c r="B162" t="s">
        <v>684</v>
      </c>
      <c r="C162" t="s">
        <v>573</v>
      </c>
      <c r="D162">
        <v>8</v>
      </c>
      <c r="E162" t="s">
        <v>677</v>
      </c>
      <c r="F162" t="str">
        <f>INDEX(Taulukko25[Seura],MATCH(E162,Taulukko25[Nimi],0))</f>
        <v>Larsmo IF</v>
      </c>
      <c r="G162">
        <f>MATCH(D162,Pistetaulukko!A:A,0)</f>
        <v>10</v>
      </c>
      <c r="H162">
        <f>INDEX(Pistetaulukko!B:B,G162)</f>
        <v>10</v>
      </c>
      <c r="I162" t="e">
        <f>MATCH(D162,Pistetaulukko!D:D,0)</f>
        <v>#N/A</v>
      </c>
      <c r="J162" t="e">
        <f>INDEX(Pistetaulukko!E:E,I162)</f>
        <v>#N/A</v>
      </c>
      <c r="K162" s="2">
        <f>IF(Taulukko2[[#This Row],[Laji]]="XCO",Taulukko2[[#This Row],[PstXCO]],Taulukko2[[#This Row],[PstXCC]])</f>
        <v>10</v>
      </c>
    </row>
    <row r="163" spans="1:11" ht="15" customHeight="1" x14ac:dyDescent="0.35">
      <c r="A163" t="s">
        <v>547</v>
      </c>
      <c r="B163" t="s">
        <v>684</v>
      </c>
      <c r="C163" t="s">
        <v>584</v>
      </c>
      <c r="D163">
        <v>1</v>
      </c>
      <c r="E163" t="s">
        <v>601</v>
      </c>
      <c r="F163" t="str">
        <f>INDEX(Taulukko25[Seura],MATCH(E163,Taulukko25[Nimi],0))</f>
        <v>CCH</v>
      </c>
      <c r="G163">
        <f>MATCH(D163,Pistetaulukko!A:A,0)</f>
        <v>3</v>
      </c>
      <c r="H163">
        <f>INDEX(Pistetaulukko!B:B,G163)</f>
        <v>30</v>
      </c>
      <c r="I163" t="e">
        <f>MATCH(D163,Pistetaulukko!D:D,0)</f>
        <v>#N/A</v>
      </c>
      <c r="J163" t="e">
        <f>INDEX(Pistetaulukko!E:E,I163)</f>
        <v>#N/A</v>
      </c>
      <c r="K163" s="2">
        <f>IF(Taulukko2[[#This Row],[Laji]]="XCO",Taulukko2[[#This Row],[PstXCO]],Taulukko2[[#This Row],[PstXCC]])</f>
        <v>30</v>
      </c>
    </row>
    <row r="164" spans="1:11" ht="15" customHeight="1" x14ac:dyDescent="0.35">
      <c r="A164" t="s">
        <v>547</v>
      </c>
      <c r="B164" t="s">
        <v>684</v>
      </c>
      <c r="C164" t="s">
        <v>584</v>
      </c>
      <c r="D164">
        <v>2</v>
      </c>
      <c r="E164" t="s">
        <v>586</v>
      </c>
      <c r="F164" t="str">
        <f>INDEX(Taulukko25[Seura],MATCH(E164,Taulukko25[Nimi],0))</f>
        <v>VlkMTB</v>
      </c>
      <c r="G164">
        <f>MATCH(D164,Pistetaulukko!A:A,0)</f>
        <v>4</v>
      </c>
      <c r="H164">
        <f>INDEX(Pistetaulukko!B:B,G164)</f>
        <v>25</v>
      </c>
      <c r="I164" t="e">
        <f>MATCH(D164,Pistetaulukko!D:D,0)</f>
        <v>#N/A</v>
      </c>
      <c r="J164" t="e">
        <f>INDEX(Pistetaulukko!E:E,I164)</f>
        <v>#N/A</v>
      </c>
      <c r="K164" s="2">
        <f>IF(Taulukko2[[#This Row],[Laji]]="XCO",Taulukko2[[#This Row],[PstXCO]],Taulukko2[[#This Row],[PstXCC]])</f>
        <v>25</v>
      </c>
    </row>
    <row r="165" spans="1:11" ht="15" customHeight="1" x14ac:dyDescent="0.35">
      <c r="A165" t="s">
        <v>547</v>
      </c>
      <c r="B165" t="s">
        <v>684</v>
      </c>
      <c r="C165" t="s">
        <v>584</v>
      </c>
      <c r="D165">
        <v>3</v>
      </c>
      <c r="E165" t="s">
        <v>585</v>
      </c>
      <c r="F165" t="str">
        <f>INDEX(Taulukko25[Seura],MATCH(E165,Taulukko25[Nimi],0))</f>
        <v>Larsmo IF</v>
      </c>
      <c r="G165">
        <f>MATCH(D165,Pistetaulukko!A:A,0)</f>
        <v>5</v>
      </c>
      <c r="H165">
        <f>INDEX(Pistetaulukko!B:B,G165)</f>
        <v>21</v>
      </c>
      <c r="I165" t="e">
        <f>MATCH(D165,Pistetaulukko!D:D,0)</f>
        <v>#N/A</v>
      </c>
      <c r="J165" t="e">
        <f>INDEX(Pistetaulukko!E:E,I165)</f>
        <v>#N/A</v>
      </c>
      <c r="K165" s="2">
        <f>IF(Taulukko2[[#This Row],[Laji]]="XCO",Taulukko2[[#This Row],[PstXCO]],Taulukko2[[#This Row],[PstXCC]])</f>
        <v>21</v>
      </c>
    </row>
    <row r="166" spans="1:11" ht="15" customHeight="1" x14ac:dyDescent="0.35">
      <c r="A166" t="s">
        <v>547</v>
      </c>
      <c r="B166" t="s">
        <v>684</v>
      </c>
      <c r="C166" t="s">
        <v>584</v>
      </c>
      <c r="D166">
        <v>4</v>
      </c>
      <c r="E166" t="s">
        <v>599</v>
      </c>
      <c r="F166" t="str">
        <f>INDEX(Taulukko25[Seura],MATCH(E166,Taulukko25[Nimi],0))</f>
        <v>CCH</v>
      </c>
      <c r="G166">
        <f>MATCH(D166,Pistetaulukko!A:A,0)</f>
        <v>6</v>
      </c>
      <c r="H166">
        <f>INDEX(Pistetaulukko!B:B,G166)</f>
        <v>18</v>
      </c>
      <c r="I166" t="e">
        <f>MATCH(D166,Pistetaulukko!D:D,0)</f>
        <v>#N/A</v>
      </c>
      <c r="J166" t="e">
        <f>INDEX(Pistetaulukko!E:E,I166)</f>
        <v>#N/A</v>
      </c>
      <c r="K166" s="2">
        <f>IF(Taulukko2[[#This Row],[Laji]]="XCO",Taulukko2[[#This Row],[PstXCO]],Taulukko2[[#This Row],[PstXCC]])</f>
        <v>18</v>
      </c>
    </row>
    <row r="167" spans="1:11" ht="15" customHeight="1" x14ac:dyDescent="0.35">
      <c r="A167" t="s">
        <v>547</v>
      </c>
      <c r="B167" t="s">
        <v>684</v>
      </c>
      <c r="C167" t="s">
        <v>584</v>
      </c>
      <c r="D167">
        <v>5</v>
      </c>
      <c r="E167" t="s">
        <v>633</v>
      </c>
      <c r="F167" t="str">
        <f>INDEX(Taulukko25[Seura],MATCH(E167,Taulukko25[Nimi],0))</f>
        <v>CC Ilves</v>
      </c>
      <c r="G167">
        <f>MATCH(D167,Pistetaulukko!A:A,0)</f>
        <v>7</v>
      </c>
      <c r="H167">
        <f>INDEX(Pistetaulukko!B:B,G167)</f>
        <v>16</v>
      </c>
      <c r="I167" t="e">
        <f>MATCH(D167,Pistetaulukko!D:D,0)</f>
        <v>#N/A</v>
      </c>
      <c r="J167" t="e">
        <f>INDEX(Pistetaulukko!E:E,I167)</f>
        <v>#N/A</v>
      </c>
      <c r="K167" s="2">
        <f>IF(Taulukko2[[#This Row],[Laji]]="XCO",Taulukko2[[#This Row],[PstXCO]],Taulukko2[[#This Row],[PstXCC]])</f>
        <v>16</v>
      </c>
    </row>
    <row r="168" spans="1:11" ht="15" customHeight="1" x14ac:dyDescent="0.35">
      <c r="A168" t="s">
        <v>547</v>
      </c>
      <c r="B168" t="s">
        <v>684</v>
      </c>
      <c r="C168" t="s">
        <v>584</v>
      </c>
      <c r="D168">
        <v>6</v>
      </c>
      <c r="E168" t="s">
        <v>678</v>
      </c>
      <c r="F168" t="str">
        <f>INDEX(Taulukko25[Seura],MATCH(E168,Taulukko25[Nimi],0))</f>
        <v>TVC</v>
      </c>
      <c r="G168">
        <f>MATCH(D168,Pistetaulukko!A:A,0)</f>
        <v>8</v>
      </c>
      <c r="H168">
        <f>INDEX(Pistetaulukko!B:B,G168)</f>
        <v>14</v>
      </c>
      <c r="I168" t="e">
        <f>MATCH(D168,Pistetaulukko!D:D,0)</f>
        <v>#N/A</v>
      </c>
      <c r="J168" t="e">
        <f>INDEX(Pistetaulukko!E:E,I168)</f>
        <v>#N/A</v>
      </c>
      <c r="K168" s="2">
        <f>IF(Taulukko2[[#This Row],[Laji]]="XCO",Taulukko2[[#This Row],[PstXCO]],Taulukko2[[#This Row],[PstXCC]])</f>
        <v>14</v>
      </c>
    </row>
    <row r="169" spans="1:11" ht="15" customHeight="1" x14ac:dyDescent="0.35">
      <c r="A169" t="s">
        <v>547</v>
      </c>
      <c r="B169" t="s">
        <v>689</v>
      </c>
      <c r="C169" t="s">
        <v>682</v>
      </c>
      <c r="D169">
        <v>1</v>
      </c>
      <c r="E169" t="s">
        <v>590</v>
      </c>
      <c r="F169" t="str">
        <f>INDEX(Taulukko25[Seura],MATCH(E169,Taulukko25[Nimi],0))</f>
        <v>JYPS</v>
      </c>
      <c r="G169">
        <f>MATCH(D169,Pistetaulukko!A:A,0)</f>
        <v>3</v>
      </c>
      <c r="H169">
        <f>INDEX(Pistetaulukko!B:B,G169)</f>
        <v>30</v>
      </c>
      <c r="I169" t="e">
        <f>MATCH(D169,Pistetaulukko!D:D,0)</f>
        <v>#N/A</v>
      </c>
      <c r="J169" t="e">
        <f>INDEX(Pistetaulukko!E:E,I169)</f>
        <v>#N/A</v>
      </c>
      <c r="K169" s="2">
        <f>IF(Taulukko2[[#This Row],[Laji]]="XCO",Taulukko2[[#This Row],[PstXCO]],Taulukko2[[#This Row],[PstXCC]])</f>
        <v>30</v>
      </c>
    </row>
    <row r="170" spans="1:11" ht="15" customHeight="1" x14ac:dyDescent="0.35">
      <c r="A170" t="s">
        <v>547</v>
      </c>
      <c r="B170" t="s">
        <v>689</v>
      </c>
      <c r="C170" t="s">
        <v>553</v>
      </c>
      <c r="D170">
        <v>1</v>
      </c>
      <c r="E170" t="s">
        <v>557</v>
      </c>
      <c r="F170" t="str">
        <f>INDEX(Taulukko25[Seura],MATCH(E170,Taulukko25[Nimi],0))</f>
        <v>KorsKa</v>
      </c>
      <c r="G170">
        <f>MATCH(D170,Pistetaulukko!A:A,0)</f>
        <v>3</v>
      </c>
      <c r="H170">
        <f>INDEX(Pistetaulukko!B:B,G170)</f>
        <v>30</v>
      </c>
      <c r="I170" t="e">
        <f>MATCH(D170,Pistetaulukko!D:D,0)</f>
        <v>#N/A</v>
      </c>
      <c r="J170" t="e">
        <f>INDEX(Pistetaulukko!E:E,I170)</f>
        <v>#N/A</v>
      </c>
      <c r="K170" s="2">
        <f>IF(Taulukko2[[#This Row],[Laji]]="XCO",Taulukko2[[#This Row],[PstXCO]],Taulukko2[[#This Row],[PstXCC]])</f>
        <v>30</v>
      </c>
    </row>
    <row r="171" spans="1:11" ht="15" customHeight="1" x14ac:dyDescent="0.35">
      <c r="A171" t="s">
        <v>547</v>
      </c>
      <c r="B171" t="s">
        <v>689</v>
      </c>
      <c r="C171" t="s">
        <v>683</v>
      </c>
      <c r="D171">
        <v>1</v>
      </c>
      <c r="E171" t="s">
        <v>626</v>
      </c>
      <c r="F171" t="str">
        <f>INDEX(Taulukko25[Seura],MATCH(E171,Taulukko25[Nimi],0))</f>
        <v>Akilles</v>
      </c>
      <c r="G171">
        <f>MATCH(D171,Pistetaulukko!A:A,0)</f>
        <v>3</v>
      </c>
      <c r="H171">
        <f>INDEX(Pistetaulukko!B:B,G171)</f>
        <v>30</v>
      </c>
      <c r="I171" t="e">
        <f>MATCH(D171,Pistetaulukko!D:D,0)</f>
        <v>#N/A</v>
      </c>
      <c r="J171" t="e">
        <f>INDEX(Pistetaulukko!E:E,I171)</f>
        <v>#N/A</v>
      </c>
      <c r="K171" s="2">
        <f>IF(Taulukko2[[#This Row],[Laji]]="XCO",Taulukko2[[#This Row],[PstXCO]],Taulukko2[[#This Row],[PstXCC]])</f>
        <v>30</v>
      </c>
    </row>
    <row r="172" spans="1:11" ht="15" customHeight="1" x14ac:dyDescent="0.35">
      <c r="A172" t="s">
        <v>547</v>
      </c>
      <c r="B172" t="s">
        <v>689</v>
      </c>
      <c r="C172" t="s">
        <v>683</v>
      </c>
      <c r="D172">
        <v>2</v>
      </c>
      <c r="E172" t="s">
        <v>568</v>
      </c>
      <c r="F172" t="str">
        <f>INDEX(Taulukko25[Seura],MATCH(E172,Taulukko25[Nimi],0))</f>
        <v>HyPy</v>
      </c>
      <c r="G172">
        <f>MATCH(D172,Pistetaulukko!A:A,0)</f>
        <v>4</v>
      </c>
      <c r="H172">
        <f>INDEX(Pistetaulukko!B:B,G172)</f>
        <v>25</v>
      </c>
      <c r="I172" t="e">
        <f>MATCH(D172,Pistetaulukko!D:D,0)</f>
        <v>#N/A</v>
      </c>
      <c r="J172" t="e">
        <f>INDEX(Pistetaulukko!E:E,I172)</f>
        <v>#N/A</v>
      </c>
      <c r="K172" s="2">
        <f>IF(Taulukko2[[#This Row],[Laji]]="XCO",Taulukko2[[#This Row],[PstXCO]],Taulukko2[[#This Row],[PstXCC]])</f>
        <v>25</v>
      </c>
    </row>
    <row r="173" spans="1:11" ht="15" customHeight="1" x14ac:dyDescent="0.35">
      <c r="A173" t="s">
        <v>547</v>
      </c>
      <c r="B173" t="s">
        <v>689</v>
      </c>
      <c r="C173" t="s">
        <v>683</v>
      </c>
      <c r="D173">
        <v>3</v>
      </c>
      <c r="E173" t="s">
        <v>658</v>
      </c>
      <c r="F173" t="str">
        <f>INDEX(Taulukko25[Seura],MATCH(E173,Taulukko25[Nimi],0))</f>
        <v>KorsKa</v>
      </c>
      <c r="G173">
        <f>MATCH(D173,Pistetaulukko!A:A,0)</f>
        <v>5</v>
      </c>
      <c r="H173">
        <f>INDEX(Pistetaulukko!B:B,G173)</f>
        <v>21</v>
      </c>
      <c r="I173" t="e">
        <f>MATCH(D173,Pistetaulukko!D:D,0)</f>
        <v>#N/A</v>
      </c>
      <c r="J173" t="e">
        <f>INDEX(Pistetaulukko!E:E,I173)</f>
        <v>#N/A</v>
      </c>
      <c r="K173" s="2">
        <f>IF(Taulukko2[[#This Row],[Laji]]="XCO",Taulukko2[[#This Row],[PstXCO]],Taulukko2[[#This Row],[PstXCC]])</f>
        <v>21</v>
      </c>
    </row>
    <row r="174" spans="1:11" ht="15" customHeight="1" x14ac:dyDescent="0.35">
      <c r="A174" t="s">
        <v>547</v>
      </c>
      <c r="B174" t="s">
        <v>689</v>
      </c>
      <c r="C174" t="s">
        <v>683</v>
      </c>
      <c r="D174">
        <v>4</v>
      </c>
      <c r="E174" t="s">
        <v>690</v>
      </c>
      <c r="F174" t="str">
        <f>INDEX(Taulukko25[Seura],MATCH(E174,Taulukko25[Nimi],0))</f>
        <v>CCH</v>
      </c>
      <c r="G174">
        <f>MATCH(D174,Pistetaulukko!A:A,0)</f>
        <v>6</v>
      </c>
      <c r="H174">
        <f>INDEX(Pistetaulukko!B:B,G174)</f>
        <v>18</v>
      </c>
      <c r="I174" t="e">
        <f>MATCH(D174,Pistetaulukko!D:D,0)</f>
        <v>#N/A</v>
      </c>
      <c r="J174" t="e">
        <f>INDEX(Pistetaulukko!E:E,I174)</f>
        <v>#N/A</v>
      </c>
      <c r="K174" s="2">
        <f>IF(Taulukko2[[#This Row],[Laji]]="XCO",Taulukko2[[#This Row],[PstXCO]],Taulukko2[[#This Row],[PstXCC]])</f>
        <v>18</v>
      </c>
    </row>
    <row r="175" spans="1:11" ht="15" customHeight="1" x14ac:dyDescent="0.35">
      <c r="A175" t="s">
        <v>547</v>
      </c>
      <c r="B175" t="s">
        <v>689</v>
      </c>
      <c r="C175" t="s">
        <v>573</v>
      </c>
      <c r="D175">
        <v>1</v>
      </c>
      <c r="E175" t="s">
        <v>575</v>
      </c>
      <c r="F175" t="str">
        <f>INDEX(Taulukko25[Seura],MATCH(E175,Taulukko25[Nimi],0))</f>
        <v>IU</v>
      </c>
      <c r="G175">
        <f>MATCH(D175,Pistetaulukko!A:A,0)</f>
        <v>3</v>
      </c>
      <c r="H175">
        <f>INDEX(Pistetaulukko!B:B,G175)</f>
        <v>30</v>
      </c>
      <c r="I175" t="e">
        <f>MATCH(D175,Pistetaulukko!D:D,0)</f>
        <v>#N/A</v>
      </c>
      <c r="J175" t="e">
        <f>INDEX(Pistetaulukko!E:E,I175)</f>
        <v>#N/A</v>
      </c>
      <c r="K175" s="2">
        <f>IF(Taulukko2[[#This Row],[Laji]]="XCO",Taulukko2[[#This Row],[PstXCO]],Taulukko2[[#This Row],[PstXCC]])</f>
        <v>30</v>
      </c>
    </row>
    <row r="176" spans="1:11" ht="15" customHeight="1" x14ac:dyDescent="0.35">
      <c r="A176" t="s">
        <v>547</v>
      </c>
      <c r="B176" t="s">
        <v>689</v>
      </c>
      <c r="C176" t="s">
        <v>573</v>
      </c>
      <c r="D176">
        <v>2</v>
      </c>
      <c r="E176" t="s">
        <v>691</v>
      </c>
      <c r="F176" t="str">
        <f>INDEX(Taulukko25[Seura],MATCH(E176,Taulukko25[Nimi],0))</f>
        <v>HyPy</v>
      </c>
      <c r="G176">
        <f>MATCH(D176,Pistetaulukko!A:A,0)</f>
        <v>4</v>
      </c>
      <c r="H176">
        <f>INDEX(Pistetaulukko!B:B,G176)</f>
        <v>25</v>
      </c>
      <c r="I176" t="e">
        <f>MATCH(D176,Pistetaulukko!D:D,0)</f>
        <v>#N/A</v>
      </c>
      <c r="J176" t="e">
        <f>INDEX(Pistetaulukko!E:E,I176)</f>
        <v>#N/A</v>
      </c>
      <c r="K176" s="2">
        <f>IF(Taulukko2[[#This Row],[Laji]]="XCO",Taulukko2[[#This Row],[PstXCO]],Taulukko2[[#This Row],[PstXCC]])</f>
        <v>25</v>
      </c>
    </row>
    <row r="177" spans="1:11" ht="15" customHeight="1" x14ac:dyDescent="0.35">
      <c r="A177" t="s">
        <v>547</v>
      </c>
      <c r="B177" t="s">
        <v>689</v>
      </c>
      <c r="C177" t="s">
        <v>584</v>
      </c>
      <c r="D177">
        <v>1</v>
      </c>
      <c r="E177" t="s">
        <v>586</v>
      </c>
      <c r="F177" t="str">
        <f>INDEX(Taulukko25[Seura],MATCH(E177,Taulukko25[Nimi],0))</f>
        <v>VlkMTB</v>
      </c>
      <c r="G177">
        <f>MATCH(D177,Pistetaulukko!A:A,0)</f>
        <v>3</v>
      </c>
      <c r="H177">
        <f>INDEX(Pistetaulukko!B:B,G177)</f>
        <v>30</v>
      </c>
      <c r="I177" t="e">
        <f>MATCH(D177,Pistetaulukko!D:D,0)</f>
        <v>#N/A</v>
      </c>
      <c r="J177" t="e">
        <f>INDEX(Pistetaulukko!E:E,I177)</f>
        <v>#N/A</v>
      </c>
      <c r="K177" s="2">
        <f>IF(Taulukko2[[#This Row],[Laji]]="XCO",Taulukko2[[#This Row],[PstXCO]],Taulukko2[[#This Row],[PstXCC]])</f>
        <v>30</v>
      </c>
    </row>
    <row r="178" spans="1:11" ht="15" customHeight="1" x14ac:dyDescent="0.35">
      <c r="A178" t="s">
        <v>547</v>
      </c>
      <c r="B178" t="s">
        <v>689</v>
      </c>
      <c r="C178" t="s">
        <v>584</v>
      </c>
      <c r="D178">
        <v>2</v>
      </c>
      <c r="E178" t="s">
        <v>599</v>
      </c>
      <c r="F178" t="str">
        <f>INDEX(Taulukko25[Seura],MATCH(E178,Taulukko25[Nimi],0))</f>
        <v>CCH</v>
      </c>
      <c r="G178">
        <f>MATCH(D178,Pistetaulukko!A:A,0)</f>
        <v>4</v>
      </c>
      <c r="H178">
        <f>INDEX(Pistetaulukko!B:B,G178)</f>
        <v>25</v>
      </c>
      <c r="I178" t="e">
        <f>MATCH(D178,Pistetaulukko!D:D,0)</f>
        <v>#N/A</v>
      </c>
      <c r="J178" t="e">
        <f>INDEX(Pistetaulukko!E:E,I178)</f>
        <v>#N/A</v>
      </c>
      <c r="K178" s="2">
        <f>IF(Taulukko2[[#This Row],[Laji]]="XCO",Taulukko2[[#This Row],[PstXCO]],Taulukko2[[#This Row],[PstXCC]])</f>
        <v>25</v>
      </c>
    </row>
    <row r="179" spans="1:11" ht="15" customHeight="1" x14ac:dyDescent="0.35">
      <c r="A179" t="s">
        <v>547</v>
      </c>
      <c r="B179" t="s">
        <v>689</v>
      </c>
      <c r="C179" t="s">
        <v>584</v>
      </c>
      <c r="D179">
        <v>3</v>
      </c>
      <c r="E179" t="s">
        <v>633</v>
      </c>
      <c r="F179" t="str">
        <f>INDEX(Taulukko25[Seura],MATCH(E179,Taulukko25[Nimi],0))</f>
        <v>CC Ilves</v>
      </c>
      <c r="G179">
        <f>MATCH(D179,Pistetaulukko!A:A,0)</f>
        <v>5</v>
      </c>
      <c r="H179">
        <f>INDEX(Pistetaulukko!B:B,G179)</f>
        <v>21</v>
      </c>
      <c r="I179" t="e">
        <f>MATCH(D179,Pistetaulukko!D:D,0)</f>
        <v>#N/A</v>
      </c>
      <c r="J179" t="e">
        <f>INDEX(Pistetaulukko!E:E,I179)</f>
        <v>#N/A</v>
      </c>
      <c r="K179" s="2">
        <f>IF(Taulukko2[[#This Row],[Laji]]="XCO",Taulukko2[[#This Row],[PstXCO]],Taulukko2[[#This Row],[PstXCC]])</f>
        <v>21</v>
      </c>
    </row>
    <row r="180" spans="1:11" ht="15" customHeight="1" x14ac:dyDescent="0.35">
      <c r="A180" t="s">
        <v>547</v>
      </c>
      <c r="B180" t="s">
        <v>689</v>
      </c>
      <c r="C180" t="s">
        <v>645</v>
      </c>
      <c r="D180">
        <v>1</v>
      </c>
      <c r="E180" t="s">
        <v>318</v>
      </c>
      <c r="F180" t="str">
        <f>INDEX(Taulukko25[Seura],MATCH(E180,Taulukko25[Nimi],0))</f>
        <v>KorsKa</v>
      </c>
      <c r="G180">
        <f>MATCH(D180,Pistetaulukko!A:A,0)</f>
        <v>3</v>
      </c>
      <c r="H180">
        <f>INDEX(Pistetaulukko!B:B,G180)</f>
        <v>30</v>
      </c>
      <c r="I180" t="e">
        <f>MATCH(D180,Pistetaulukko!D:D,0)</f>
        <v>#N/A</v>
      </c>
      <c r="J180" t="e">
        <f>INDEX(Pistetaulukko!E:E,I180)</f>
        <v>#N/A</v>
      </c>
      <c r="K180" s="2">
        <f>IF(Taulukko2[[#This Row],[Laji]]="XCO",Taulukko2[[#This Row],[PstXCO]],Taulukko2[[#This Row],[PstXCC]])</f>
        <v>30</v>
      </c>
    </row>
    <row r="181" spans="1:11" ht="15" customHeight="1" x14ac:dyDescent="0.35">
      <c r="A181" t="s">
        <v>547</v>
      </c>
      <c r="B181" t="s">
        <v>689</v>
      </c>
      <c r="C181" t="s">
        <v>645</v>
      </c>
      <c r="D181">
        <v>2</v>
      </c>
      <c r="E181" t="s">
        <v>669</v>
      </c>
      <c r="F181" t="str">
        <f>INDEX(Taulukko25[Seura],MATCH(E181,Taulukko25[Nimi],0))</f>
        <v>HyPy</v>
      </c>
      <c r="G181">
        <f>MATCH(D181,Pistetaulukko!A:A,0)</f>
        <v>4</v>
      </c>
      <c r="H181">
        <f>INDEX(Pistetaulukko!B:B,G181)</f>
        <v>25</v>
      </c>
      <c r="I181" t="e">
        <f>MATCH(D181,Pistetaulukko!D:D,0)</f>
        <v>#N/A</v>
      </c>
      <c r="J181" t="e">
        <f>INDEX(Pistetaulukko!E:E,I181)</f>
        <v>#N/A</v>
      </c>
      <c r="K181" s="2">
        <f>IF(Taulukko2[[#This Row],[Laji]]="XCO",Taulukko2[[#This Row],[PstXCO]],Taulukko2[[#This Row],[PstXCC]])</f>
        <v>25</v>
      </c>
    </row>
    <row r="182" spans="1:11" ht="15" customHeight="1" x14ac:dyDescent="0.35">
      <c r="A182" t="s">
        <v>548</v>
      </c>
      <c r="B182" t="s">
        <v>692</v>
      </c>
      <c r="C182" t="s">
        <v>646</v>
      </c>
      <c r="D182">
        <v>1</v>
      </c>
      <c r="E182" t="s">
        <v>340</v>
      </c>
      <c r="F182" t="str">
        <f>INDEX(Taulukko25[Seura],MATCH(E182,Taulukko25[Nimi],0))</f>
        <v>KorsKa</v>
      </c>
      <c r="G182">
        <f>MATCH(D182,Pistetaulukko!A:A,0)</f>
        <v>3</v>
      </c>
      <c r="H182">
        <f>INDEX(Pistetaulukko!B:B,G182)</f>
        <v>30</v>
      </c>
      <c r="I182" t="e">
        <f>MATCH(D182,Pistetaulukko!D:D,0)</f>
        <v>#N/A</v>
      </c>
      <c r="J182" t="e">
        <f>INDEX(Pistetaulukko!E:E,I182)</f>
        <v>#N/A</v>
      </c>
      <c r="K182" s="2" t="e">
        <f>IF(Taulukko2[[#This Row],[Laji]]="XCO",Taulukko2[[#This Row],[PstXCO]],Taulukko2[[#This Row],[PstXCC]])</f>
        <v>#N/A</v>
      </c>
    </row>
    <row r="183" spans="1:11" ht="15" customHeight="1" x14ac:dyDescent="0.35">
      <c r="A183" t="s">
        <v>548</v>
      </c>
      <c r="B183" t="s">
        <v>692</v>
      </c>
      <c r="C183" t="s">
        <v>645</v>
      </c>
      <c r="D183">
        <v>1</v>
      </c>
      <c r="E183" t="s">
        <v>318</v>
      </c>
      <c r="F183" t="str">
        <f>INDEX(Taulukko25[Seura],MATCH(E183,Taulukko25[Nimi],0))</f>
        <v>KorsKa</v>
      </c>
      <c r="G183">
        <f>MATCH(D183,Pistetaulukko!A:A,0)</f>
        <v>3</v>
      </c>
      <c r="H183">
        <f>INDEX(Pistetaulukko!B:B,G183)</f>
        <v>30</v>
      </c>
      <c r="I183" t="e">
        <f>MATCH(D183,Pistetaulukko!D:D,0)</f>
        <v>#N/A</v>
      </c>
      <c r="J183" t="e">
        <f>INDEX(Pistetaulukko!E:E,I183)</f>
        <v>#N/A</v>
      </c>
      <c r="K183" s="2" t="e">
        <f>IF(Taulukko2[[#This Row],[Laji]]="XCO",Taulukko2[[#This Row],[PstXCO]],Taulukko2[[#This Row],[PstXCC]])</f>
        <v>#N/A</v>
      </c>
    </row>
    <row r="184" spans="1:11" ht="15" customHeight="1" x14ac:dyDescent="0.35">
      <c r="A184" t="s">
        <v>548</v>
      </c>
      <c r="B184" t="s">
        <v>692</v>
      </c>
      <c r="C184" t="s">
        <v>645</v>
      </c>
      <c r="D184">
        <v>2</v>
      </c>
      <c r="E184" t="s">
        <v>206</v>
      </c>
      <c r="F184" t="str">
        <f>INDEX(Taulukko25[Seura],MATCH(E184,Taulukko25[Nimi],0))</f>
        <v>OTC</v>
      </c>
      <c r="G184">
        <f>MATCH(D184,Pistetaulukko!A:A,0)</f>
        <v>4</v>
      </c>
      <c r="H184">
        <f>INDEX(Pistetaulukko!B:B,G184)</f>
        <v>25</v>
      </c>
      <c r="I184" t="e">
        <f>MATCH(D184,Pistetaulukko!D:D,0)</f>
        <v>#N/A</v>
      </c>
      <c r="J184" t="e">
        <f>INDEX(Pistetaulukko!E:E,I184)</f>
        <v>#N/A</v>
      </c>
      <c r="K184" s="2" t="e">
        <f>IF(Taulukko2[[#This Row],[Laji]]="XCO",Taulukko2[[#This Row],[PstXCO]],Taulukko2[[#This Row],[PstXCC]])</f>
        <v>#N/A</v>
      </c>
    </row>
    <row r="185" spans="1:11" ht="15" customHeight="1" x14ac:dyDescent="0.35">
      <c r="A185" t="s">
        <v>548</v>
      </c>
      <c r="B185" t="s">
        <v>692</v>
      </c>
      <c r="C185" t="s">
        <v>682</v>
      </c>
      <c r="D185">
        <v>1</v>
      </c>
      <c r="E185" t="s">
        <v>663</v>
      </c>
      <c r="F185" t="str">
        <f>INDEX(Taulukko25[Seura],MATCH(E185,Taulukko25[Nimi],0))</f>
        <v>OTC</v>
      </c>
      <c r="G185">
        <f>MATCH(D185,Pistetaulukko!A:A,0)</f>
        <v>3</v>
      </c>
      <c r="H185">
        <f>INDEX(Pistetaulukko!B:B,G185)</f>
        <v>30</v>
      </c>
      <c r="I185" t="e">
        <f>MATCH(D185,Pistetaulukko!D:D,0)</f>
        <v>#N/A</v>
      </c>
      <c r="J185" t="e">
        <f>INDEX(Pistetaulukko!E:E,I185)</f>
        <v>#N/A</v>
      </c>
      <c r="K185" s="2" t="e">
        <f>IF(Taulukko2[[#This Row],[Laji]]="XCO",Taulukko2[[#This Row],[PstXCO]],Taulukko2[[#This Row],[PstXCC]])</f>
        <v>#N/A</v>
      </c>
    </row>
    <row r="186" spans="1:11" ht="15" customHeight="1" x14ac:dyDescent="0.35">
      <c r="A186" t="s">
        <v>548</v>
      </c>
      <c r="B186" t="s">
        <v>692</v>
      </c>
      <c r="C186" t="s">
        <v>682</v>
      </c>
      <c r="D186">
        <v>2</v>
      </c>
      <c r="E186" t="s">
        <v>560</v>
      </c>
      <c r="F186" t="str">
        <f>INDEX(Taulukko25[Seura],MATCH(E186,Taulukko25[Nimi],0))</f>
        <v>OP-P</v>
      </c>
      <c r="G186">
        <f>MATCH(D186,Pistetaulukko!A:A,0)</f>
        <v>4</v>
      </c>
      <c r="H186">
        <f>INDEX(Pistetaulukko!B:B,G186)</f>
        <v>25</v>
      </c>
      <c r="I186" t="e">
        <f>MATCH(D186,Pistetaulukko!D:D,0)</f>
        <v>#N/A</v>
      </c>
      <c r="J186" t="e">
        <f>INDEX(Pistetaulukko!E:E,I186)</f>
        <v>#N/A</v>
      </c>
      <c r="K186" s="2" t="e">
        <f>IF(Taulukko2[[#This Row],[Laji]]="XCO",Taulukko2[[#This Row],[PstXCO]],Taulukko2[[#This Row],[PstXCC]])</f>
        <v>#N/A</v>
      </c>
    </row>
    <row r="187" spans="1:11" ht="15" customHeight="1" x14ac:dyDescent="0.35">
      <c r="A187" t="s">
        <v>548</v>
      </c>
      <c r="B187" t="s">
        <v>692</v>
      </c>
      <c r="C187" t="s">
        <v>682</v>
      </c>
      <c r="D187">
        <v>3</v>
      </c>
      <c r="E187" t="s">
        <v>190</v>
      </c>
      <c r="F187" t="str">
        <f>INDEX(Taulukko25[Seura],MATCH(E187,Taulukko25[Nimi],0))</f>
        <v>RMTB</v>
      </c>
      <c r="G187">
        <f>MATCH(D187,Pistetaulukko!A:A,0)</f>
        <v>5</v>
      </c>
      <c r="H187">
        <f>INDEX(Pistetaulukko!B:B,G187)</f>
        <v>21</v>
      </c>
      <c r="I187" t="e">
        <f>MATCH(D187,Pistetaulukko!D:D,0)</f>
        <v>#N/A</v>
      </c>
      <c r="J187" t="e">
        <f>INDEX(Pistetaulukko!E:E,I187)</f>
        <v>#N/A</v>
      </c>
      <c r="K187" s="2" t="e">
        <f>IF(Taulukko2[[#This Row],[Laji]]="XCO",Taulukko2[[#This Row],[PstXCO]],Taulukko2[[#This Row],[PstXCC]])</f>
        <v>#N/A</v>
      </c>
    </row>
    <row r="188" spans="1:11" ht="15" customHeight="1" x14ac:dyDescent="0.35">
      <c r="A188" t="s">
        <v>548</v>
      </c>
      <c r="B188" t="s">
        <v>692</v>
      </c>
      <c r="C188" t="s">
        <v>683</v>
      </c>
      <c r="D188">
        <v>1</v>
      </c>
      <c r="E188" t="s">
        <v>640</v>
      </c>
      <c r="F188" t="str">
        <f>INDEX(Taulukko25[Seura],MATCH(E188,Taulukko25[Nimi],0))</f>
        <v>RaKe / Team Evoc</v>
      </c>
      <c r="G188">
        <f>MATCH(D188,Pistetaulukko!A:A,0)</f>
        <v>3</v>
      </c>
      <c r="H188">
        <f>INDEX(Pistetaulukko!B:B,G188)</f>
        <v>30</v>
      </c>
      <c r="I188" t="e">
        <f>MATCH(D188,Pistetaulukko!D:D,0)</f>
        <v>#N/A</v>
      </c>
      <c r="J188" t="e">
        <f>INDEX(Pistetaulukko!E:E,I188)</f>
        <v>#N/A</v>
      </c>
      <c r="K188" s="2" t="e">
        <f>IF(Taulukko2[[#This Row],[Laji]]="XCO",Taulukko2[[#This Row],[PstXCO]],Taulukko2[[#This Row],[PstXCC]])</f>
        <v>#N/A</v>
      </c>
    </row>
    <row r="189" spans="1:11" ht="15" customHeight="1" x14ac:dyDescent="0.35">
      <c r="A189" t="s">
        <v>548</v>
      </c>
      <c r="B189" t="s">
        <v>692</v>
      </c>
      <c r="C189" t="s">
        <v>683</v>
      </c>
      <c r="D189">
        <v>2</v>
      </c>
      <c r="E189" t="s">
        <v>566</v>
      </c>
      <c r="F189" t="str">
        <f>INDEX(Taulukko25[Seura],MATCH(E189,Taulukko25[Nimi],0))</f>
        <v>OP-P</v>
      </c>
      <c r="G189">
        <f>MATCH(D189,Pistetaulukko!A:A,0)</f>
        <v>4</v>
      </c>
      <c r="H189">
        <f>INDEX(Pistetaulukko!B:B,G189)</f>
        <v>25</v>
      </c>
      <c r="I189" t="e">
        <f>MATCH(D189,Pistetaulukko!D:D,0)</f>
        <v>#N/A</v>
      </c>
      <c r="J189" t="e">
        <f>INDEX(Pistetaulukko!E:E,I189)</f>
        <v>#N/A</v>
      </c>
      <c r="K189" s="2" t="e">
        <f>IF(Taulukko2[[#This Row],[Laji]]="XCO",Taulukko2[[#This Row],[PstXCO]],Taulukko2[[#This Row],[PstXCC]])</f>
        <v>#N/A</v>
      </c>
    </row>
    <row r="190" spans="1:11" ht="15" customHeight="1" x14ac:dyDescent="0.35">
      <c r="A190" t="s">
        <v>548</v>
      </c>
      <c r="B190" t="s">
        <v>692</v>
      </c>
      <c r="C190" t="s">
        <v>683</v>
      </c>
      <c r="D190">
        <v>3</v>
      </c>
      <c r="E190" t="s">
        <v>693</v>
      </c>
      <c r="F190" t="str">
        <f>INDEX(Taulukko25[Seura],MATCH(E190,Taulukko25[Nimi],0))</f>
        <v>OTC</v>
      </c>
      <c r="G190">
        <f>MATCH(D190,Pistetaulukko!A:A,0)</f>
        <v>5</v>
      </c>
      <c r="H190">
        <f>INDEX(Pistetaulukko!B:B,G190)</f>
        <v>21</v>
      </c>
      <c r="I190" t="e">
        <f>MATCH(D190,Pistetaulukko!D:D,0)</f>
        <v>#N/A</v>
      </c>
      <c r="J190" t="e">
        <f>INDEX(Pistetaulukko!E:E,I190)</f>
        <v>#N/A</v>
      </c>
      <c r="K190" s="2" t="e">
        <f>IF(Taulukko2[[#This Row],[Laji]]="XCO",Taulukko2[[#This Row],[PstXCO]],Taulukko2[[#This Row],[PstXCC]])</f>
        <v>#N/A</v>
      </c>
    </row>
    <row r="191" spans="1:11" ht="15" customHeight="1" x14ac:dyDescent="0.35">
      <c r="A191" t="s">
        <v>548</v>
      </c>
      <c r="B191" t="s">
        <v>692</v>
      </c>
      <c r="C191" t="s">
        <v>683</v>
      </c>
      <c r="D191">
        <v>4</v>
      </c>
      <c r="E191" t="s">
        <v>676</v>
      </c>
      <c r="F191" t="str">
        <f>INDEX(Taulukko25[Seura],MATCH(E191,Taulukko25[Nimi],0))</f>
        <v>OTC</v>
      </c>
      <c r="G191">
        <f>MATCH(D191,Pistetaulukko!A:A,0)</f>
        <v>6</v>
      </c>
      <c r="H191">
        <f>INDEX(Pistetaulukko!B:B,G191)</f>
        <v>18</v>
      </c>
      <c r="I191" t="e">
        <f>MATCH(D191,Pistetaulukko!D:D,0)</f>
        <v>#N/A</v>
      </c>
      <c r="J191" t="e">
        <f>INDEX(Pistetaulukko!E:E,I191)</f>
        <v>#N/A</v>
      </c>
      <c r="K191" s="2" t="e">
        <f>IF(Taulukko2[[#This Row],[Laji]]="XCO",Taulukko2[[#This Row],[PstXCO]],Taulukko2[[#This Row],[PstXCC]])</f>
        <v>#N/A</v>
      </c>
    </row>
    <row r="192" spans="1:11" ht="15" customHeight="1" x14ac:dyDescent="0.35">
      <c r="A192" t="s">
        <v>548</v>
      </c>
      <c r="B192" t="s">
        <v>692</v>
      </c>
      <c r="C192" t="s">
        <v>683</v>
      </c>
      <c r="D192">
        <v>5</v>
      </c>
      <c r="E192" t="s">
        <v>694</v>
      </c>
      <c r="F192" t="str">
        <f>INDEX(Taulukko25[Seura],MATCH(E192,Taulukko25[Nimi],0))</f>
        <v>JYPS</v>
      </c>
      <c r="G192">
        <f>MATCH(D192,Pistetaulukko!A:A,0)</f>
        <v>7</v>
      </c>
      <c r="H192">
        <f>INDEX(Pistetaulukko!B:B,G192)</f>
        <v>16</v>
      </c>
      <c r="I192" t="e">
        <f>MATCH(D192,Pistetaulukko!D:D,0)</f>
        <v>#N/A</v>
      </c>
      <c r="J192" t="e">
        <f>INDEX(Pistetaulukko!E:E,I192)</f>
        <v>#N/A</v>
      </c>
      <c r="K192" s="2" t="e">
        <f>IF(Taulukko2[[#This Row],[Laji]]="XCO",Taulukko2[[#This Row],[PstXCO]],Taulukko2[[#This Row],[PstXCC]])</f>
        <v>#N/A</v>
      </c>
    </row>
    <row r="193" spans="1:11" ht="15" customHeight="1" x14ac:dyDescent="0.35">
      <c r="A193" t="s">
        <v>548</v>
      </c>
      <c r="B193" t="s">
        <v>692</v>
      </c>
      <c r="C193" t="s">
        <v>683</v>
      </c>
      <c r="D193">
        <v>6</v>
      </c>
      <c r="E193" t="s">
        <v>70</v>
      </c>
      <c r="F193" t="str">
        <f>INDEX(Taulukko25[Seura],MATCH(E193,Taulukko25[Nimi],0))</f>
        <v xml:space="preserve">LrPy </v>
      </c>
      <c r="G193">
        <f>MATCH(D193,Pistetaulukko!A:A,0)</f>
        <v>8</v>
      </c>
      <c r="H193">
        <f>INDEX(Pistetaulukko!B:B,G193)</f>
        <v>14</v>
      </c>
      <c r="I193" t="e">
        <f>MATCH(D193,Pistetaulukko!D:D,0)</f>
        <v>#N/A</v>
      </c>
      <c r="J193" t="e">
        <f>INDEX(Pistetaulukko!E:E,I193)</f>
        <v>#N/A</v>
      </c>
      <c r="K193" s="2" t="e">
        <f>IF(Taulukko2[[#This Row],[Laji]]="XCO",Taulukko2[[#This Row],[PstXCO]],Taulukko2[[#This Row],[PstXCC]])</f>
        <v>#N/A</v>
      </c>
    </row>
    <row r="194" spans="1:11" ht="15" customHeight="1" x14ac:dyDescent="0.35">
      <c r="A194" t="s">
        <v>548</v>
      </c>
      <c r="B194" t="s">
        <v>692</v>
      </c>
      <c r="C194" t="s">
        <v>553</v>
      </c>
      <c r="D194">
        <v>1</v>
      </c>
      <c r="E194" t="s">
        <v>554</v>
      </c>
      <c r="F194" t="str">
        <f>INDEX(Taulukko25[Seura],MATCH(E194,Taulukko25[Nimi],0))</f>
        <v>RMTB</v>
      </c>
      <c r="G194">
        <f>MATCH(D194,Pistetaulukko!A:A,0)</f>
        <v>3</v>
      </c>
      <c r="H194">
        <f>INDEX(Pistetaulukko!B:B,G194)</f>
        <v>30</v>
      </c>
      <c r="I194" t="e">
        <f>MATCH(D194,Pistetaulukko!D:D,0)</f>
        <v>#N/A</v>
      </c>
      <c r="J194" t="e">
        <f>INDEX(Pistetaulukko!E:E,I194)</f>
        <v>#N/A</v>
      </c>
      <c r="K194" s="2" t="e">
        <f>IF(Taulukko2[[#This Row],[Laji]]="XCO",Taulukko2[[#This Row],[PstXCO]],Taulukko2[[#This Row],[PstXCC]])</f>
        <v>#N/A</v>
      </c>
    </row>
    <row r="195" spans="1:11" ht="15" customHeight="1" x14ac:dyDescent="0.35">
      <c r="A195" t="s">
        <v>548</v>
      </c>
      <c r="B195" t="s">
        <v>692</v>
      </c>
      <c r="C195" t="s">
        <v>573</v>
      </c>
      <c r="D195">
        <v>1</v>
      </c>
      <c r="E195" t="s">
        <v>659</v>
      </c>
      <c r="F195" t="str">
        <f>INDEX(Taulukko25[Seura],MATCH(E195,Taulukko25[Nimi],0))</f>
        <v>OP-P</v>
      </c>
      <c r="G195">
        <f>MATCH(D195,Pistetaulukko!A:A,0)</f>
        <v>3</v>
      </c>
      <c r="H195">
        <f>INDEX(Pistetaulukko!B:B,G195)</f>
        <v>30</v>
      </c>
      <c r="I195" t="e">
        <f>MATCH(D195,Pistetaulukko!D:D,0)</f>
        <v>#N/A</v>
      </c>
      <c r="J195" t="e">
        <f>INDEX(Pistetaulukko!E:E,I195)</f>
        <v>#N/A</v>
      </c>
      <c r="K195" s="2" t="e">
        <f>IF(Taulukko2[[#This Row],[Laji]]="XCO",Taulukko2[[#This Row],[PstXCO]],Taulukko2[[#This Row],[PstXCC]])</f>
        <v>#N/A</v>
      </c>
    </row>
    <row r="196" spans="1:11" ht="15" customHeight="1" x14ac:dyDescent="0.35">
      <c r="A196" t="s">
        <v>548</v>
      </c>
      <c r="B196" t="s">
        <v>692</v>
      </c>
      <c r="C196" t="s">
        <v>573</v>
      </c>
      <c r="D196">
        <v>2</v>
      </c>
      <c r="E196" t="s">
        <v>582</v>
      </c>
      <c r="F196" t="str">
        <f>INDEX(Taulukko25[Seura],MATCH(E196,Taulukko25[Nimi],0))</f>
        <v>OTC</v>
      </c>
      <c r="G196">
        <f>MATCH(D196,Pistetaulukko!A:A,0)</f>
        <v>4</v>
      </c>
      <c r="H196">
        <f>INDEX(Pistetaulukko!B:B,G196)</f>
        <v>25</v>
      </c>
      <c r="I196" t="e">
        <f>MATCH(D196,Pistetaulukko!D:D,0)</f>
        <v>#N/A</v>
      </c>
      <c r="J196" t="e">
        <f>INDEX(Pistetaulukko!E:E,I196)</f>
        <v>#N/A</v>
      </c>
      <c r="K196" s="2" t="e">
        <f>IF(Taulukko2[[#This Row],[Laji]]="XCO",Taulukko2[[#This Row],[PstXCO]],Taulukko2[[#This Row],[PstXCC]])</f>
        <v>#N/A</v>
      </c>
    </row>
    <row r="197" spans="1:11" ht="15" customHeight="1" x14ac:dyDescent="0.35">
      <c r="A197" t="s">
        <v>547</v>
      </c>
      <c r="B197" t="s">
        <v>684</v>
      </c>
      <c r="C197" t="s">
        <v>646</v>
      </c>
      <c r="D197">
        <v>1</v>
      </c>
      <c r="E197" t="s">
        <v>68</v>
      </c>
      <c r="F197" t="str">
        <f>INDEX(Taulukko25[Seura],MATCH(E197,Taulukko25[Nimi],0))</f>
        <v>ProMTB</v>
      </c>
      <c r="G197">
        <f>MATCH(D197,Pistetaulukko!A:A,0)</f>
        <v>3</v>
      </c>
      <c r="H197">
        <f>INDEX(Pistetaulukko!B:B,G197)</f>
        <v>30</v>
      </c>
      <c r="I197" t="e">
        <f>MATCH(D197,Pistetaulukko!D:D,0)</f>
        <v>#N/A</v>
      </c>
      <c r="J197" t="e">
        <f>INDEX(Pistetaulukko!E:E,I197)</f>
        <v>#N/A</v>
      </c>
      <c r="K197" s="2">
        <f>IF(Taulukko2[[#This Row],[Laji]]="XCO",Taulukko2[[#This Row],[PstXCO]],Taulukko2[[#This Row],[PstXCC]])</f>
        <v>30</v>
      </c>
    </row>
    <row r="198" spans="1:11" ht="15" customHeight="1" x14ac:dyDescent="0.35">
      <c r="A198" t="s">
        <v>547</v>
      </c>
      <c r="B198" t="s">
        <v>684</v>
      </c>
      <c r="C198" t="s">
        <v>646</v>
      </c>
      <c r="D198">
        <v>2</v>
      </c>
      <c r="E198" t="s">
        <v>209</v>
      </c>
      <c r="F198" t="str">
        <f>INDEX(Taulukko25[Seura],MATCH(E198,Taulukko25[Nimi],0))</f>
        <v>OTC</v>
      </c>
      <c r="G198">
        <f>MATCH(D198,Pistetaulukko!A:A,0)</f>
        <v>4</v>
      </c>
      <c r="H198">
        <f>INDEX(Pistetaulukko!B:B,G198)</f>
        <v>25</v>
      </c>
      <c r="I198" t="e">
        <f>MATCH(D198,Pistetaulukko!D:D,0)</f>
        <v>#N/A</v>
      </c>
      <c r="J198" t="e">
        <f>INDEX(Pistetaulukko!E:E,I198)</f>
        <v>#N/A</v>
      </c>
      <c r="K198" s="2">
        <f>IF(Taulukko2[[#This Row],[Laji]]="XCO",Taulukko2[[#This Row],[PstXCO]],Taulukko2[[#This Row],[PstXCC]])</f>
        <v>25</v>
      </c>
    </row>
    <row r="199" spans="1:11" ht="15" customHeight="1" x14ac:dyDescent="0.35">
      <c r="A199" t="s">
        <v>547</v>
      </c>
      <c r="B199" t="s">
        <v>684</v>
      </c>
      <c r="C199" t="s">
        <v>646</v>
      </c>
      <c r="D199">
        <v>3</v>
      </c>
      <c r="E199" t="s">
        <v>695</v>
      </c>
      <c r="F199" t="str">
        <f>INDEX(Taulukko25[Seura],MATCH(E199,Taulukko25[Nimi],0))</f>
        <v>Akilles</v>
      </c>
      <c r="G199">
        <f>MATCH(D199,Pistetaulukko!A:A,0)</f>
        <v>5</v>
      </c>
      <c r="H199">
        <f>INDEX(Pistetaulukko!B:B,G199)</f>
        <v>21</v>
      </c>
      <c r="I199" t="e">
        <f>MATCH(D199,Pistetaulukko!D:D,0)</f>
        <v>#N/A</v>
      </c>
      <c r="J199" t="e">
        <f>INDEX(Pistetaulukko!E:E,I199)</f>
        <v>#N/A</v>
      </c>
      <c r="K199" s="2">
        <f>IF(Taulukko2[[#This Row],[Laji]]="XCO",Taulukko2[[#This Row],[PstXCO]],Taulukko2[[#This Row],[PstXCC]])</f>
        <v>21</v>
      </c>
    </row>
    <row r="200" spans="1:11" ht="15" customHeight="1" x14ac:dyDescent="0.35">
      <c r="A200" t="s">
        <v>547</v>
      </c>
      <c r="B200" t="s">
        <v>684</v>
      </c>
      <c r="C200" t="s">
        <v>646</v>
      </c>
      <c r="D200">
        <v>4</v>
      </c>
      <c r="E200" t="s">
        <v>340</v>
      </c>
      <c r="F200" t="str">
        <f>INDEX(Taulukko25[Seura],MATCH(E200,Taulukko25[Nimi],0))</f>
        <v>KorsKa</v>
      </c>
      <c r="G200">
        <f>MATCH(D200,Pistetaulukko!A:A,0)</f>
        <v>6</v>
      </c>
      <c r="H200">
        <f>INDEX(Pistetaulukko!B:B,G200)</f>
        <v>18</v>
      </c>
      <c r="I200" t="e">
        <f>MATCH(D200,Pistetaulukko!D:D,0)</f>
        <v>#N/A</v>
      </c>
      <c r="J200" t="e">
        <f>INDEX(Pistetaulukko!E:E,I200)</f>
        <v>#N/A</v>
      </c>
      <c r="K200" s="2">
        <f>IF(Taulukko2[[#This Row],[Laji]]="XCO",Taulukko2[[#This Row],[PstXCO]],Taulukko2[[#This Row],[PstXCC]])</f>
        <v>18</v>
      </c>
    </row>
    <row r="895" spans="11:11" ht="15" customHeight="1" x14ac:dyDescent="0.35">
      <c r="K895" s="27" t="s">
        <v>255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F2" calculatedColumn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ACDB6-E89B-460B-BB28-CD8A685E74B1}">
  <dimension ref="A1:D491"/>
  <sheetViews>
    <sheetView topLeftCell="A470" workbookViewId="0">
      <selection activeCell="B490" sqref="B490"/>
    </sheetView>
  </sheetViews>
  <sheetFormatPr defaultRowHeight="14.5" x14ac:dyDescent="0.35"/>
  <cols>
    <col min="1" max="1" width="21" style="1" customWidth="1"/>
    <col min="2" max="2" width="18.26953125" customWidth="1"/>
    <col min="3" max="3" width="39.453125" bestFit="1" customWidth="1"/>
  </cols>
  <sheetData>
    <row r="1" spans="1:3" x14ac:dyDescent="0.35">
      <c r="A1" s="1" t="s">
        <v>5</v>
      </c>
      <c r="B1" t="s">
        <v>6</v>
      </c>
      <c r="C1" t="s">
        <v>257</v>
      </c>
    </row>
    <row r="2" spans="1:3" x14ac:dyDescent="0.35">
      <c r="A2" t="s">
        <v>258</v>
      </c>
      <c r="B2" t="s">
        <v>177</v>
      </c>
    </row>
    <row r="3" spans="1:3" x14ac:dyDescent="0.35">
      <c r="A3" t="s">
        <v>259</v>
      </c>
      <c r="B3" t="s">
        <v>260</v>
      </c>
    </row>
    <row r="4" spans="1:3" x14ac:dyDescent="0.35">
      <c r="A4" t="s">
        <v>36</v>
      </c>
      <c r="B4" t="s">
        <v>261</v>
      </c>
    </row>
    <row r="5" spans="1:3" x14ac:dyDescent="0.35">
      <c r="A5" t="s">
        <v>262</v>
      </c>
      <c r="B5" t="s">
        <v>263</v>
      </c>
    </row>
    <row r="6" spans="1:3" x14ac:dyDescent="0.35">
      <c r="A6" t="s">
        <v>264</v>
      </c>
      <c r="B6" t="s">
        <v>265</v>
      </c>
    </row>
    <row r="7" spans="1:3" x14ac:dyDescent="0.35">
      <c r="A7" t="s">
        <v>73</v>
      </c>
      <c r="B7" t="s">
        <v>266</v>
      </c>
    </row>
    <row r="8" spans="1:3" x14ac:dyDescent="0.35">
      <c r="A8" t="s">
        <v>206</v>
      </c>
      <c r="B8" t="s">
        <v>176</v>
      </c>
    </row>
    <row r="9" spans="1:3" x14ac:dyDescent="0.35">
      <c r="A9" s="1" t="s">
        <v>113</v>
      </c>
      <c r="B9" t="s">
        <v>267</v>
      </c>
    </row>
    <row r="10" spans="1:3" x14ac:dyDescent="0.35">
      <c r="A10" s="1" t="s">
        <v>90</v>
      </c>
      <c r="B10" t="s">
        <v>267</v>
      </c>
    </row>
    <row r="11" spans="1:3" x14ac:dyDescent="0.35">
      <c r="A11" s="1" t="s">
        <v>165</v>
      </c>
      <c r="B11" t="s">
        <v>335</v>
      </c>
    </row>
    <row r="12" spans="1:3" x14ac:dyDescent="0.35">
      <c r="A12" t="s">
        <v>269</v>
      </c>
      <c r="B12" t="s">
        <v>177</v>
      </c>
    </row>
    <row r="13" spans="1:3" x14ac:dyDescent="0.35">
      <c r="A13" t="s">
        <v>158</v>
      </c>
      <c r="B13" t="s">
        <v>177</v>
      </c>
    </row>
    <row r="14" spans="1:3" x14ac:dyDescent="0.35">
      <c r="A14" t="s">
        <v>47</v>
      </c>
      <c r="B14" t="s">
        <v>177</v>
      </c>
    </row>
    <row r="15" spans="1:3" x14ac:dyDescent="0.35">
      <c r="A15" t="s">
        <v>270</v>
      </c>
      <c r="B15" t="s">
        <v>271</v>
      </c>
    </row>
    <row r="16" spans="1:3" x14ac:dyDescent="0.35">
      <c r="A16" s="1" t="s">
        <v>109</v>
      </c>
      <c r="B16" t="s">
        <v>267</v>
      </c>
    </row>
    <row r="17" spans="1:3" x14ac:dyDescent="0.35">
      <c r="A17" t="s">
        <v>272</v>
      </c>
      <c r="B17" t="s">
        <v>267</v>
      </c>
      <c r="C17" t="s">
        <v>273</v>
      </c>
    </row>
    <row r="18" spans="1:3" x14ac:dyDescent="0.35">
      <c r="A18" s="1" t="s">
        <v>89</v>
      </c>
      <c r="B18" t="s">
        <v>274</v>
      </c>
    </row>
    <row r="19" spans="1:3" x14ac:dyDescent="0.35">
      <c r="A19" t="s">
        <v>59</v>
      </c>
      <c r="B19" t="s">
        <v>177</v>
      </c>
    </row>
    <row r="20" spans="1:3" x14ac:dyDescent="0.35">
      <c r="A20" t="s">
        <v>39</v>
      </c>
      <c r="B20" t="s">
        <v>177</v>
      </c>
    </row>
    <row r="21" spans="1:3" x14ac:dyDescent="0.35">
      <c r="A21" t="s">
        <v>55</v>
      </c>
      <c r="B21" t="s">
        <v>177</v>
      </c>
    </row>
    <row r="22" spans="1:3" x14ac:dyDescent="0.35">
      <c r="A22" s="1" t="s">
        <v>146</v>
      </c>
      <c r="B22" t="s">
        <v>267</v>
      </c>
      <c r="C22" t="s">
        <v>275</v>
      </c>
    </row>
    <row r="23" spans="1:3" x14ac:dyDescent="0.35">
      <c r="A23" t="s">
        <v>276</v>
      </c>
      <c r="B23" t="s">
        <v>277</v>
      </c>
    </row>
    <row r="24" spans="1:3" x14ac:dyDescent="0.35">
      <c r="A24" t="s">
        <v>148</v>
      </c>
      <c r="B24" t="s">
        <v>168</v>
      </c>
    </row>
    <row r="25" spans="1:3" x14ac:dyDescent="0.35">
      <c r="A25" t="s">
        <v>137</v>
      </c>
      <c r="B25" t="s">
        <v>168</v>
      </c>
    </row>
    <row r="26" spans="1:3" x14ac:dyDescent="0.35">
      <c r="A26" t="s">
        <v>249</v>
      </c>
      <c r="B26" t="s">
        <v>278</v>
      </c>
    </row>
    <row r="27" spans="1:3" x14ac:dyDescent="0.35">
      <c r="A27" t="s">
        <v>279</v>
      </c>
      <c r="B27" t="s">
        <v>277</v>
      </c>
    </row>
    <row r="28" spans="1:3" x14ac:dyDescent="0.35">
      <c r="A28" t="s">
        <v>280</v>
      </c>
      <c r="B28" t="s">
        <v>281</v>
      </c>
    </row>
    <row r="29" spans="1:3" x14ac:dyDescent="0.35">
      <c r="A29" t="s">
        <v>111</v>
      </c>
      <c r="B29" t="s">
        <v>177</v>
      </c>
    </row>
    <row r="30" spans="1:3" x14ac:dyDescent="0.35">
      <c r="A30" t="s">
        <v>23</v>
      </c>
      <c r="B30" t="s">
        <v>177</v>
      </c>
    </row>
    <row r="31" spans="1:3" x14ac:dyDescent="0.35">
      <c r="A31" t="s">
        <v>32</v>
      </c>
      <c r="B31" t="s">
        <v>177</v>
      </c>
    </row>
    <row r="32" spans="1:3" x14ac:dyDescent="0.35">
      <c r="A32" t="s">
        <v>98</v>
      </c>
      <c r="B32" t="s">
        <v>282</v>
      </c>
    </row>
    <row r="33" spans="1:3" x14ac:dyDescent="0.35">
      <c r="A33" t="s">
        <v>283</v>
      </c>
      <c r="B33" t="s">
        <v>168</v>
      </c>
    </row>
    <row r="34" spans="1:3" x14ac:dyDescent="0.35">
      <c r="A34" t="s">
        <v>284</v>
      </c>
      <c r="B34" t="s">
        <v>176</v>
      </c>
    </row>
    <row r="35" spans="1:3" x14ac:dyDescent="0.35">
      <c r="A35" t="s">
        <v>106</v>
      </c>
      <c r="B35" t="s">
        <v>282</v>
      </c>
    </row>
    <row r="36" spans="1:3" x14ac:dyDescent="0.35">
      <c r="A36" t="s">
        <v>140</v>
      </c>
      <c r="B36" t="s">
        <v>267</v>
      </c>
      <c r="C36" t="s">
        <v>285</v>
      </c>
    </row>
    <row r="37" spans="1:3" x14ac:dyDescent="0.35">
      <c r="A37" t="s">
        <v>152</v>
      </c>
      <c r="B37" t="s">
        <v>267</v>
      </c>
      <c r="C37" t="s">
        <v>285</v>
      </c>
    </row>
    <row r="38" spans="1:3" x14ac:dyDescent="0.35">
      <c r="A38" t="s">
        <v>45</v>
      </c>
      <c r="B38" t="s">
        <v>177</v>
      </c>
    </row>
    <row r="39" spans="1:3" x14ac:dyDescent="0.35">
      <c r="A39" t="s">
        <v>46</v>
      </c>
      <c r="B39" t="s">
        <v>177</v>
      </c>
    </row>
    <row r="40" spans="1:3" x14ac:dyDescent="0.35">
      <c r="A40" t="s">
        <v>286</v>
      </c>
      <c r="B40" t="s">
        <v>267</v>
      </c>
      <c r="C40" t="s">
        <v>275</v>
      </c>
    </row>
    <row r="41" spans="1:3" x14ac:dyDescent="0.35">
      <c r="A41" t="s">
        <v>76</v>
      </c>
      <c r="B41" t="s">
        <v>287</v>
      </c>
    </row>
    <row r="42" spans="1:3" x14ac:dyDescent="0.35">
      <c r="A42" t="s">
        <v>288</v>
      </c>
      <c r="B42" t="s">
        <v>263</v>
      </c>
    </row>
    <row r="43" spans="1:3" x14ac:dyDescent="0.35">
      <c r="A43" t="s">
        <v>58</v>
      </c>
      <c r="B43" t="s">
        <v>177</v>
      </c>
    </row>
    <row r="44" spans="1:3" x14ac:dyDescent="0.35">
      <c r="A44" t="s">
        <v>57</v>
      </c>
      <c r="B44" t="s">
        <v>177</v>
      </c>
    </row>
    <row r="45" spans="1:3" x14ac:dyDescent="0.35">
      <c r="A45" t="s">
        <v>289</v>
      </c>
      <c r="B45" t="s">
        <v>178</v>
      </c>
    </row>
    <row r="46" spans="1:3" x14ac:dyDescent="0.35">
      <c r="A46" t="s">
        <v>290</v>
      </c>
      <c r="B46" t="s">
        <v>267</v>
      </c>
    </row>
    <row r="47" spans="1:3" x14ac:dyDescent="0.35">
      <c r="A47" t="s">
        <v>256</v>
      </c>
      <c r="B47" t="s">
        <v>267</v>
      </c>
    </row>
    <row r="48" spans="1:3" x14ac:dyDescent="0.35">
      <c r="A48" t="s">
        <v>291</v>
      </c>
      <c r="B48" t="s">
        <v>267</v>
      </c>
    </row>
    <row r="49" spans="1:3" x14ac:dyDescent="0.35">
      <c r="A49" t="s">
        <v>72</v>
      </c>
      <c r="B49" t="s">
        <v>292</v>
      </c>
    </row>
    <row r="50" spans="1:3" x14ac:dyDescent="0.35">
      <c r="A50" t="s">
        <v>293</v>
      </c>
      <c r="B50" t="s">
        <v>176</v>
      </c>
    </row>
    <row r="51" spans="1:3" x14ac:dyDescent="0.35">
      <c r="A51" t="s">
        <v>294</v>
      </c>
      <c r="B51" t="s">
        <v>295</v>
      </c>
    </row>
    <row r="52" spans="1:3" x14ac:dyDescent="0.35">
      <c r="A52" t="s">
        <v>51</v>
      </c>
      <c r="B52" t="s">
        <v>295</v>
      </c>
    </row>
    <row r="53" spans="1:3" x14ac:dyDescent="0.35">
      <c r="A53" t="s">
        <v>21</v>
      </c>
      <c r="B53" t="s">
        <v>271</v>
      </c>
    </row>
    <row r="54" spans="1:3" x14ac:dyDescent="0.35">
      <c r="A54" t="s">
        <v>11</v>
      </c>
      <c r="B54" t="s">
        <v>271</v>
      </c>
    </row>
    <row r="55" spans="1:3" x14ac:dyDescent="0.35">
      <c r="A55" t="s">
        <v>296</v>
      </c>
      <c r="B55" t="s">
        <v>267</v>
      </c>
      <c r="C55" t="s">
        <v>297</v>
      </c>
    </row>
    <row r="56" spans="1:3" x14ac:dyDescent="0.35">
      <c r="A56" t="s">
        <v>160</v>
      </c>
      <c r="B56" t="s">
        <v>298</v>
      </c>
    </row>
    <row r="57" spans="1:3" x14ac:dyDescent="0.35">
      <c r="A57" t="s">
        <v>70</v>
      </c>
      <c r="B57" t="s">
        <v>299</v>
      </c>
    </row>
    <row r="58" spans="1:3" x14ac:dyDescent="0.35">
      <c r="A58" t="s">
        <v>300</v>
      </c>
      <c r="B58" t="s">
        <v>267</v>
      </c>
      <c r="C58" t="s">
        <v>275</v>
      </c>
    </row>
    <row r="59" spans="1:3" x14ac:dyDescent="0.35">
      <c r="A59" t="s">
        <v>301</v>
      </c>
      <c r="B59" t="s">
        <v>281</v>
      </c>
    </row>
    <row r="60" spans="1:3" x14ac:dyDescent="0.35">
      <c r="A60" s="1" t="s">
        <v>145</v>
      </c>
      <c r="B60" t="s">
        <v>263</v>
      </c>
    </row>
    <row r="61" spans="1:3" x14ac:dyDescent="0.35">
      <c r="A61" s="1" t="s">
        <v>151</v>
      </c>
      <c r="B61" t="s">
        <v>267</v>
      </c>
      <c r="C61" t="s">
        <v>275</v>
      </c>
    </row>
    <row r="62" spans="1:3" x14ac:dyDescent="0.35">
      <c r="A62" t="s">
        <v>302</v>
      </c>
      <c r="B62" t="s">
        <v>267</v>
      </c>
      <c r="C62" t="s">
        <v>275</v>
      </c>
    </row>
    <row r="63" spans="1:3" x14ac:dyDescent="0.35">
      <c r="A63" t="s">
        <v>303</v>
      </c>
      <c r="B63" t="s">
        <v>263</v>
      </c>
    </row>
    <row r="64" spans="1:3" x14ac:dyDescent="0.35">
      <c r="A64" s="1" t="s">
        <v>188</v>
      </c>
      <c r="B64" t="s">
        <v>267</v>
      </c>
      <c r="C64" t="s">
        <v>304</v>
      </c>
    </row>
    <row r="65" spans="1:3" x14ac:dyDescent="0.35">
      <c r="A65" t="s">
        <v>182</v>
      </c>
      <c r="B65" t="s">
        <v>265</v>
      </c>
    </row>
    <row r="66" spans="1:3" x14ac:dyDescent="0.35">
      <c r="A66" t="s">
        <v>305</v>
      </c>
      <c r="B66" t="s">
        <v>267</v>
      </c>
    </row>
    <row r="67" spans="1:3" x14ac:dyDescent="0.35">
      <c r="A67" t="s">
        <v>306</v>
      </c>
      <c r="B67" t="s">
        <v>267</v>
      </c>
    </row>
    <row r="68" spans="1:3" x14ac:dyDescent="0.35">
      <c r="A68" t="s">
        <v>201</v>
      </c>
      <c r="B68" t="s">
        <v>176</v>
      </c>
    </row>
    <row r="69" spans="1:3" x14ac:dyDescent="0.35">
      <c r="A69" t="s">
        <v>307</v>
      </c>
      <c r="B69" t="s">
        <v>267</v>
      </c>
      <c r="C69" t="s">
        <v>308</v>
      </c>
    </row>
    <row r="70" spans="1:3" x14ac:dyDescent="0.35">
      <c r="A70" t="s">
        <v>309</v>
      </c>
      <c r="B70" t="s">
        <v>277</v>
      </c>
    </row>
    <row r="71" spans="1:3" x14ac:dyDescent="0.35">
      <c r="A71" s="1" t="s">
        <v>115</v>
      </c>
      <c r="B71" t="s">
        <v>267</v>
      </c>
    </row>
    <row r="72" spans="1:3" x14ac:dyDescent="0.35">
      <c r="A72" t="s">
        <v>194</v>
      </c>
      <c r="B72" t="s">
        <v>310</v>
      </c>
    </row>
    <row r="73" spans="1:3" x14ac:dyDescent="0.35">
      <c r="A73" t="s">
        <v>61</v>
      </c>
      <c r="B73" t="s">
        <v>177</v>
      </c>
    </row>
    <row r="74" spans="1:3" x14ac:dyDescent="0.35">
      <c r="A74" t="s">
        <v>227</v>
      </c>
      <c r="B74" t="s">
        <v>274</v>
      </c>
    </row>
    <row r="75" spans="1:3" x14ac:dyDescent="0.35">
      <c r="A75" t="s">
        <v>112</v>
      </c>
      <c r="B75" t="s">
        <v>267</v>
      </c>
      <c r="C75" t="s">
        <v>311</v>
      </c>
    </row>
    <row r="76" spans="1:3" x14ac:dyDescent="0.35">
      <c r="A76" t="s">
        <v>142</v>
      </c>
      <c r="B76" t="s">
        <v>312</v>
      </c>
    </row>
    <row r="77" spans="1:3" x14ac:dyDescent="0.35">
      <c r="A77" t="s">
        <v>64</v>
      </c>
      <c r="B77" t="s">
        <v>313</v>
      </c>
    </row>
    <row r="78" spans="1:3" x14ac:dyDescent="0.35">
      <c r="A78" t="s">
        <v>314</v>
      </c>
      <c r="B78" t="s">
        <v>263</v>
      </c>
    </row>
    <row r="79" spans="1:3" x14ac:dyDescent="0.35">
      <c r="A79" t="s">
        <v>315</v>
      </c>
      <c r="B79" t="s">
        <v>267</v>
      </c>
      <c r="C79" t="s">
        <v>316</v>
      </c>
    </row>
    <row r="80" spans="1:3" x14ac:dyDescent="0.35">
      <c r="A80" t="s">
        <v>317</v>
      </c>
      <c r="B80" t="s">
        <v>267</v>
      </c>
      <c r="C80" t="s">
        <v>316</v>
      </c>
    </row>
    <row r="81" spans="1:3" x14ac:dyDescent="0.35">
      <c r="A81" t="s">
        <v>318</v>
      </c>
      <c r="B81" t="s">
        <v>263</v>
      </c>
    </row>
    <row r="82" spans="1:3" x14ac:dyDescent="0.35">
      <c r="A82" t="s">
        <v>319</v>
      </c>
      <c r="B82" t="s">
        <v>313</v>
      </c>
    </row>
    <row r="83" spans="1:3" x14ac:dyDescent="0.35">
      <c r="A83" s="1" t="s">
        <v>130</v>
      </c>
      <c r="B83" t="s">
        <v>271</v>
      </c>
    </row>
    <row r="84" spans="1:3" x14ac:dyDescent="0.35">
      <c r="A84" t="s">
        <v>320</v>
      </c>
      <c r="B84" t="s">
        <v>265</v>
      </c>
    </row>
    <row r="85" spans="1:3" x14ac:dyDescent="0.35">
      <c r="A85" t="s">
        <v>75</v>
      </c>
      <c r="B85" t="s">
        <v>281</v>
      </c>
    </row>
    <row r="86" spans="1:3" x14ac:dyDescent="0.35">
      <c r="A86" t="s">
        <v>254</v>
      </c>
      <c r="B86" t="s">
        <v>278</v>
      </c>
    </row>
    <row r="87" spans="1:3" x14ac:dyDescent="0.35">
      <c r="A87" t="s">
        <v>127</v>
      </c>
      <c r="B87" t="s">
        <v>263</v>
      </c>
    </row>
    <row r="88" spans="1:3" x14ac:dyDescent="0.35">
      <c r="A88" t="s">
        <v>321</v>
      </c>
      <c r="B88" t="s">
        <v>292</v>
      </c>
    </row>
    <row r="89" spans="1:3" x14ac:dyDescent="0.35">
      <c r="A89" t="s">
        <v>322</v>
      </c>
      <c r="B89" t="s">
        <v>267</v>
      </c>
      <c r="C89" t="s">
        <v>323</v>
      </c>
    </row>
    <row r="90" spans="1:3" x14ac:dyDescent="0.35">
      <c r="A90" t="s">
        <v>175</v>
      </c>
      <c r="B90" t="s">
        <v>176</v>
      </c>
    </row>
    <row r="91" spans="1:3" x14ac:dyDescent="0.35">
      <c r="A91" t="s">
        <v>212</v>
      </c>
      <c r="B91" t="s">
        <v>176</v>
      </c>
    </row>
    <row r="92" spans="1:3" x14ac:dyDescent="0.35">
      <c r="A92" t="s">
        <v>79</v>
      </c>
      <c r="B92" t="s">
        <v>292</v>
      </c>
    </row>
    <row r="93" spans="1:3" x14ac:dyDescent="0.35">
      <c r="A93" s="1" t="s">
        <v>189</v>
      </c>
      <c r="B93" t="s">
        <v>267</v>
      </c>
      <c r="C93" t="s">
        <v>304</v>
      </c>
    </row>
    <row r="94" spans="1:3" x14ac:dyDescent="0.35">
      <c r="A94" t="s">
        <v>324</v>
      </c>
      <c r="B94" t="s">
        <v>267</v>
      </c>
      <c r="C94" t="s">
        <v>325</v>
      </c>
    </row>
    <row r="95" spans="1:3" x14ac:dyDescent="0.35">
      <c r="A95" t="s">
        <v>38</v>
      </c>
      <c r="B95" t="s">
        <v>177</v>
      </c>
    </row>
    <row r="96" spans="1:3" x14ac:dyDescent="0.35">
      <c r="A96" s="1" t="s">
        <v>164</v>
      </c>
      <c r="B96" t="s">
        <v>292</v>
      </c>
    </row>
    <row r="97" spans="1:3" x14ac:dyDescent="0.35">
      <c r="A97" t="s">
        <v>102</v>
      </c>
      <c r="B97" t="s">
        <v>313</v>
      </c>
    </row>
    <row r="98" spans="1:3" x14ac:dyDescent="0.35">
      <c r="A98" t="s">
        <v>85</v>
      </c>
      <c r="B98" t="s">
        <v>313</v>
      </c>
    </row>
    <row r="99" spans="1:3" x14ac:dyDescent="0.35">
      <c r="A99" t="s">
        <v>71</v>
      </c>
      <c r="B99" t="s">
        <v>178</v>
      </c>
    </row>
    <row r="100" spans="1:3" x14ac:dyDescent="0.35">
      <c r="A100" t="s">
        <v>326</v>
      </c>
      <c r="B100" t="s">
        <v>178</v>
      </c>
    </row>
    <row r="101" spans="1:3" x14ac:dyDescent="0.35">
      <c r="A101" t="s">
        <v>84</v>
      </c>
      <c r="B101" t="s">
        <v>176</v>
      </c>
    </row>
    <row r="102" spans="1:3" x14ac:dyDescent="0.35">
      <c r="A102" t="s">
        <v>327</v>
      </c>
      <c r="B102" t="s">
        <v>281</v>
      </c>
    </row>
    <row r="103" spans="1:3" x14ac:dyDescent="0.35">
      <c r="A103" t="s">
        <v>328</v>
      </c>
      <c r="B103" t="s">
        <v>298</v>
      </c>
    </row>
    <row r="104" spans="1:3" x14ac:dyDescent="0.35">
      <c r="A104" s="1" t="s">
        <v>136</v>
      </c>
      <c r="B104" t="s">
        <v>263</v>
      </c>
    </row>
    <row r="105" spans="1:3" x14ac:dyDescent="0.35">
      <c r="A105" t="s">
        <v>192</v>
      </c>
      <c r="B105" t="s">
        <v>329</v>
      </c>
    </row>
    <row r="106" spans="1:3" x14ac:dyDescent="0.35">
      <c r="A106" t="s">
        <v>195</v>
      </c>
      <c r="B106" t="s">
        <v>329</v>
      </c>
    </row>
    <row r="107" spans="1:3" x14ac:dyDescent="0.35">
      <c r="A107" t="s">
        <v>191</v>
      </c>
      <c r="B107" t="s">
        <v>329</v>
      </c>
    </row>
    <row r="108" spans="1:3" x14ac:dyDescent="0.35">
      <c r="A108" t="s">
        <v>330</v>
      </c>
      <c r="B108" t="s">
        <v>267</v>
      </c>
    </row>
    <row r="109" spans="1:3" x14ac:dyDescent="0.35">
      <c r="A109" s="1" t="s">
        <v>107</v>
      </c>
      <c r="B109" t="s">
        <v>267</v>
      </c>
      <c r="C109" t="s">
        <v>331</v>
      </c>
    </row>
    <row r="110" spans="1:3" x14ac:dyDescent="0.35">
      <c r="A110" s="1" t="s">
        <v>103</v>
      </c>
      <c r="B110" t="s">
        <v>267</v>
      </c>
      <c r="C110" t="s">
        <v>331</v>
      </c>
    </row>
    <row r="111" spans="1:3" x14ac:dyDescent="0.35">
      <c r="A111" t="s">
        <v>332</v>
      </c>
      <c r="B111" t="s">
        <v>333</v>
      </c>
    </row>
    <row r="112" spans="1:3" x14ac:dyDescent="0.35">
      <c r="A112" t="s">
        <v>334</v>
      </c>
      <c r="B112" t="s">
        <v>333</v>
      </c>
    </row>
    <row r="113" spans="1:3" x14ac:dyDescent="0.35">
      <c r="A113" s="1" t="s">
        <v>185</v>
      </c>
      <c r="B113" t="s">
        <v>267</v>
      </c>
      <c r="C113" t="s">
        <v>304</v>
      </c>
    </row>
    <row r="114" spans="1:3" x14ac:dyDescent="0.35">
      <c r="A114" t="s">
        <v>166</v>
      </c>
      <c r="B114" t="s">
        <v>335</v>
      </c>
    </row>
    <row r="115" spans="1:3" x14ac:dyDescent="0.35">
      <c r="A115" t="s">
        <v>336</v>
      </c>
      <c r="B115" t="s">
        <v>178</v>
      </c>
    </row>
    <row r="116" spans="1:3" x14ac:dyDescent="0.35">
      <c r="A116" t="s">
        <v>56</v>
      </c>
      <c r="B116" t="s">
        <v>337</v>
      </c>
    </row>
    <row r="117" spans="1:3" x14ac:dyDescent="0.35">
      <c r="A117" t="s">
        <v>338</v>
      </c>
      <c r="B117" t="s">
        <v>295</v>
      </c>
    </row>
    <row r="118" spans="1:3" x14ac:dyDescent="0.35">
      <c r="A118" t="s">
        <v>339</v>
      </c>
      <c r="B118" t="s">
        <v>298</v>
      </c>
    </row>
    <row r="119" spans="1:3" x14ac:dyDescent="0.35">
      <c r="A119" t="s">
        <v>340</v>
      </c>
      <c r="B119" t="s">
        <v>263</v>
      </c>
    </row>
    <row r="120" spans="1:3" x14ac:dyDescent="0.35">
      <c r="A120" t="s">
        <v>63</v>
      </c>
      <c r="B120" t="s">
        <v>313</v>
      </c>
    </row>
    <row r="121" spans="1:3" x14ac:dyDescent="0.35">
      <c r="A121" s="1" t="s">
        <v>180</v>
      </c>
      <c r="B121" t="s">
        <v>268</v>
      </c>
    </row>
    <row r="122" spans="1:3" x14ac:dyDescent="0.35">
      <c r="A122" t="s">
        <v>20</v>
      </c>
      <c r="B122" t="s">
        <v>271</v>
      </c>
    </row>
    <row r="123" spans="1:3" x14ac:dyDescent="0.35">
      <c r="A123" t="s">
        <v>28</v>
      </c>
      <c r="B123" t="s">
        <v>271</v>
      </c>
    </row>
    <row r="124" spans="1:3" x14ac:dyDescent="0.35">
      <c r="A124" s="1" t="s">
        <v>159</v>
      </c>
      <c r="B124" t="s">
        <v>292</v>
      </c>
    </row>
    <row r="125" spans="1:3" x14ac:dyDescent="0.35">
      <c r="A125" t="s">
        <v>341</v>
      </c>
      <c r="B125" t="s">
        <v>267</v>
      </c>
      <c r="C125" t="s">
        <v>342</v>
      </c>
    </row>
    <row r="126" spans="1:3" x14ac:dyDescent="0.35">
      <c r="A126" t="s">
        <v>60</v>
      </c>
      <c r="B126" t="s">
        <v>177</v>
      </c>
    </row>
    <row r="127" spans="1:3" x14ac:dyDescent="0.35">
      <c r="A127" s="1" t="s">
        <v>114</v>
      </c>
      <c r="B127" t="s">
        <v>343</v>
      </c>
    </row>
    <row r="128" spans="1:3" x14ac:dyDescent="0.35">
      <c r="A128" t="s">
        <v>344</v>
      </c>
      <c r="B128" t="s">
        <v>267</v>
      </c>
      <c r="C128" t="s">
        <v>345</v>
      </c>
    </row>
    <row r="129" spans="1:3" x14ac:dyDescent="0.35">
      <c r="A129" t="s">
        <v>50</v>
      </c>
      <c r="B129" t="s">
        <v>179</v>
      </c>
    </row>
    <row r="130" spans="1:3" x14ac:dyDescent="0.35">
      <c r="A130" t="s">
        <v>346</v>
      </c>
      <c r="B130" t="s">
        <v>347</v>
      </c>
    </row>
    <row r="131" spans="1:3" x14ac:dyDescent="0.35">
      <c r="A131" t="s">
        <v>348</v>
      </c>
      <c r="B131" t="s">
        <v>281</v>
      </c>
      <c r="C131" t="s">
        <v>349</v>
      </c>
    </row>
    <row r="132" spans="1:3" x14ac:dyDescent="0.35">
      <c r="A132" t="s">
        <v>221</v>
      </c>
      <c r="B132" t="s">
        <v>350</v>
      </c>
    </row>
    <row r="133" spans="1:3" x14ac:dyDescent="0.35">
      <c r="A133" t="s">
        <v>351</v>
      </c>
      <c r="B133" t="s">
        <v>292</v>
      </c>
    </row>
    <row r="134" spans="1:3" x14ac:dyDescent="0.35">
      <c r="A134" t="s">
        <v>104</v>
      </c>
      <c r="B134" t="s">
        <v>177</v>
      </c>
    </row>
    <row r="135" spans="1:3" x14ac:dyDescent="0.35">
      <c r="A135" s="1" t="s">
        <v>101</v>
      </c>
      <c r="B135" t="s">
        <v>267</v>
      </c>
    </row>
    <row r="136" spans="1:3" x14ac:dyDescent="0.35">
      <c r="A136" t="s">
        <v>243</v>
      </c>
      <c r="B136" t="s">
        <v>267</v>
      </c>
      <c r="C136" t="s">
        <v>352</v>
      </c>
    </row>
    <row r="137" spans="1:3" x14ac:dyDescent="0.35">
      <c r="A137" t="s">
        <v>353</v>
      </c>
      <c r="B137" t="s">
        <v>267</v>
      </c>
    </row>
    <row r="138" spans="1:3" x14ac:dyDescent="0.35">
      <c r="A138" t="s">
        <v>354</v>
      </c>
      <c r="B138" t="s">
        <v>169</v>
      </c>
    </row>
    <row r="139" spans="1:3" x14ac:dyDescent="0.35">
      <c r="A139" t="s">
        <v>355</v>
      </c>
      <c r="B139" t="s">
        <v>267</v>
      </c>
    </row>
    <row r="140" spans="1:3" x14ac:dyDescent="0.35">
      <c r="A140" t="s">
        <v>356</v>
      </c>
      <c r="B140" t="s">
        <v>267</v>
      </c>
    </row>
    <row r="141" spans="1:3" x14ac:dyDescent="0.35">
      <c r="A141" t="s">
        <v>357</v>
      </c>
      <c r="B141" t="s">
        <v>298</v>
      </c>
    </row>
    <row r="142" spans="1:3" x14ac:dyDescent="0.35">
      <c r="A142" t="s">
        <v>358</v>
      </c>
      <c r="B142" t="s">
        <v>267</v>
      </c>
      <c r="C142" t="s">
        <v>359</v>
      </c>
    </row>
    <row r="143" spans="1:3" x14ac:dyDescent="0.35">
      <c r="A143" t="s">
        <v>360</v>
      </c>
      <c r="B143" t="s">
        <v>361</v>
      </c>
    </row>
    <row r="144" spans="1:3" x14ac:dyDescent="0.35">
      <c r="A144" t="s">
        <v>362</v>
      </c>
      <c r="B144" t="s">
        <v>267</v>
      </c>
      <c r="C144" t="s">
        <v>363</v>
      </c>
    </row>
    <row r="145" spans="1:3" x14ac:dyDescent="0.35">
      <c r="A145" t="s">
        <v>218</v>
      </c>
      <c r="B145" t="s">
        <v>168</v>
      </c>
    </row>
    <row r="146" spans="1:3" x14ac:dyDescent="0.35">
      <c r="A146" t="s">
        <v>364</v>
      </c>
      <c r="B146" t="s">
        <v>312</v>
      </c>
    </row>
    <row r="147" spans="1:3" x14ac:dyDescent="0.35">
      <c r="A147" t="s">
        <v>365</v>
      </c>
      <c r="B147" t="s">
        <v>312</v>
      </c>
    </row>
    <row r="148" spans="1:3" x14ac:dyDescent="0.35">
      <c r="A148" s="1" t="s">
        <v>184</v>
      </c>
      <c r="B148" t="s">
        <v>267</v>
      </c>
      <c r="C148" t="s">
        <v>304</v>
      </c>
    </row>
    <row r="149" spans="1:3" x14ac:dyDescent="0.35">
      <c r="A149" t="s">
        <v>67</v>
      </c>
      <c r="B149" t="s">
        <v>292</v>
      </c>
    </row>
    <row r="150" spans="1:3" x14ac:dyDescent="0.35">
      <c r="A150" t="s">
        <v>366</v>
      </c>
      <c r="B150" t="s">
        <v>310</v>
      </c>
    </row>
    <row r="151" spans="1:3" x14ac:dyDescent="0.35">
      <c r="A151" t="s">
        <v>367</v>
      </c>
      <c r="B151" t="s">
        <v>295</v>
      </c>
    </row>
    <row r="152" spans="1:3" x14ac:dyDescent="0.35">
      <c r="A152" t="s">
        <v>121</v>
      </c>
      <c r="B152" t="s">
        <v>295</v>
      </c>
    </row>
    <row r="153" spans="1:3" x14ac:dyDescent="0.35">
      <c r="A153" t="s">
        <v>96</v>
      </c>
      <c r="B153" t="s">
        <v>277</v>
      </c>
    </row>
    <row r="154" spans="1:3" x14ac:dyDescent="0.35">
      <c r="A154" t="s">
        <v>83</v>
      </c>
      <c r="B154" t="s">
        <v>277</v>
      </c>
    </row>
    <row r="155" spans="1:3" x14ac:dyDescent="0.35">
      <c r="A155" t="s">
        <v>233</v>
      </c>
      <c r="B155" t="s">
        <v>260</v>
      </c>
    </row>
    <row r="156" spans="1:3" x14ac:dyDescent="0.35">
      <c r="A156" t="s">
        <v>368</v>
      </c>
      <c r="B156" t="s">
        <v>267</v>
      </c>
      <c r="C156" t="s">
        <v>369</v>
      </c>
    </row>
    <row r="157" spans="1:3" x14ac:dyDescent="0.35">
      <c r="A157" t="s">
        <v>370</v>
      </c>
      <c r="B157" t="s">
        <v>260</v>
      </c>
    </row>
    <row r="158" spans="1:3" x14ac:dyDescent="0.35">
      <c r="A158" t="s">
        <v>29</v>
      </c>
      <c r="B158" t="s">
        <v>178</v>
      </c>
    </row>
    <row r="159" spans="1:3" x14ac:dyDescent="0.35">
      <c r="A159" t="s">
        <v>371</v>
      </c>
      <c r="B159" t="s">
        <v>263</v>
      </c>
    </row>
    <row r="160" spans="1:3" x14ac:dyDescent="0.35">
      <c r="A160" t="s">
        <v>372</v>
      </c>
      <c r="B160" t="s">
        <v>263</v>
      </c>
    </row>
    <row r="161" spans="1:3" x14ac:dyDescent="0.35">
      <c r="A161" t="s">
        <v>69</v>
      </c>
      <c r="B161" t="s">
        <v>298</v>
      </c>
    </row>
    <row r="162" spans="1:3" x14ac:dyDescent="0.35">
      <c r="A162" t="s">
        <v>373</v>
      </c>
      <c r="B162" t="s">
        <v>374</v>
      </c>
    </row>
    <row r="163" spans="1:3" x14ac:dyDescent="0.35">
      <c r="A163" t="s">
        <v>375</v>
      </c>
      <c r="B163" t="s">
        <v>267</v>
      </c>
    </row>
    <row r="164" spans="1:3" x14ac:dyDescent="0.35">
      <c r="A164" s="1" t="s">
        <v>131</v>
      </c>
      <c r="B164" t="s">
        <v>263</v>
      </c>
    </row>
    <row r="165" spans="1:3" x14ac:dyDescent="0.35">
      <c r="A165" s="1" t="s">
        <v>133</v>
      </c>
      <c r="B165" t="s">
        <v>263</v>
      </c>
    </row>
    <row r="166" spans="1:3" x14ac:dyDescent="0.35">
      <c r="A166" s="1" t="s">
        <v>150</v>
      </c>
      <c r="B166" t="s">
        <v>260</v>
      </c>
    </row>
    <row r="167" spans="1:3" x14ac:dyDescent="0.35">
      <c r="A167" s="1" t="s">
        <v>123</v>
      </c>
      <c r="B167" t="s">
        <v>177</v>
      </c>
    </row>
    <row r="168" spans="1:3" x14ac:dyDescent="0.35">
      <c r="A168" t="s">
        <v>13</v>
      </c>
      <c r="B168" t="s">
        <v>260</v>
      </c>
    </row>
    <row r="169" spans="1:3" x14ac:dyDescent="0.35">
      <c r="A169" s="1" t="s">
        <v>77</v>
      </c>
      <c r="B169" t="s">
        <v>281</v>
      </c>
    </row>
    <row r="170" spans="1:3" x14ac:dyDescent="0.35">
      <c r="A170" t="s">
        <v>376</v>
      </c>
      <c r="B170" t="s">
        <v>267</v>
      </c>
      <c r="C170" t="s">
        <v>377</v>
      </c>
    </row>
    <row r="171" spans="1:3" x14ac:dyDescent="0.35">
      <c r="A171" t="s">
        <v>186</v>
      </c>
      <c r="B171" t="s">
        <v>267</v>
      </c>
      <c r="C171" t="s">
        <v>378</v>
      </c>
    </row>
    <row r="172" spans="1:3" x14ac:dyDescent="0.35">
      <c r="A172" t="s">
        <v>91</v>
      </c>
      <c r="B172" t="s">
        <v>267</v>
      </c>
      <c r="C172" t="s">
        <v>379</v>
      </c>
    </row>
    <row r="173" spans="1:3" x14ac:dyDescent="0.35">
      <c r="A173" s="1" t="s">
        <v>99</v>
      </c>
      <c r="B173" t="s">
        <v>380</v>
      </c>
    </row>
    <row r="174" spans="1:3" x14ac:dyDescent="0.35">
      <c r="A174" t="s">
        <v>381</v>
      </c>
      <c r="B174" t="s">
        <v>382</v>
      </c>
    </row>
    <row r="175" spans="1:3" ht="15.75" customHeight="1" x14ac:dyDescent="0.35">
      <c r="A175" t="s">
        <v>383</v>
      </c>
      <c r="B175" t="s">
        <v>267</v>
      </c>
      <c r="C175" t="s">
        <v>384</v>
      </c>
    </row>
    <row r="176" spans="1:3" x14ac:dyDescent="0.35">
      <c r="A176" t="s">
        <v>43</v>
      </c>
      <c r="B176" t="s">
        <v>168</v>
      </c>
    </row>
    <row r="177" spans="1:3" x14ac:dyDescent="0.35">
      <c r="A177" t="s">
        <v>74</v>
      </c>
      <c r="B177" t="s">
        <v>267</v>
      </c>
      <c r="C177" t="s">
        <v>275</v>
      </c>
    </row>
    <row r="178" spans="1:3" x14ac:dyDescent="0.35">
      <c r="A178" t="s">
        <v>385</v>
      </c>
      <c r="B178" t="s">
        <v>177</v>
      </c>
    </row>
    <row r="179" spans="1:3" x14ac:dyDescent="0.35">
      <c r="A179" s="1" t="s">
        <v>141</v>
      </c>
      <c r="B179" t="s">
        <v>263</v>
      </c>
    </row>
    <row r="180" spans="1:3" x14ac:dyDescent="0.35">
      <c r="A180" t="s">
        <v>386</v>
      </c>
      <c r="B180" t="s">
        <v>177</v>
      </c>
    </row>
    <row r="181" spans="1:3" x14ac:dyDescent="0.35">
      <c r="A181" s="1" t="s">
        <v>155</v>
      </c>
      <c r="B181" t="s">
        <v>267</v>
      </c>
      <c r="C181" t="s">
        <v>275</v>
      </c>
    </row>
    <row r="182" spans="1:3" x14ac:dyDescent="0.35">
      <c r="A182" t="s">
        <v>387</v>
      </c>
      <c r="B182" t="s">
        <v>172</v>
      </c>
    </row>
    <row r="183" spans="1:3" x14ac:dyDescent="0.35">
      <c r="A183" t="s">
        <v>388</v>
      </c>
      <c r="B183" t="s">
        <v>172</v>
      </c>
    </row>
    <row r="184" spans="1:3" x14ac:dyDescent="0.35">
      <c r="A184" t="s">
        <v>389</v>
      </c>
      <c r="B184" t="s">
        <v>310</v>
      </c>
    </row>
    <row r="185" spans="1:3" x14ac:dyDescent="0.35">
      <c r="A185" t="s">
        <v>110</v>
      </c>
      <c r="B185" t="s">
        <v>177</v>
      </c>
    </row>
    <row r="186" spans="1:3" x14ac:dyDescent="0.35">
      <c r="A186" t="s">
        <v>390</v>
      </c>
      <c r="B186" t="s">
        <v>267</v>
      </c>
    </row>
    <row r="187" spans="1:3" x14ac:dyDescent="0.35">
      <c r="A187" t="s">
        <v>125</v>
      </c>
      <c r="B187" t="s">
        <v>260</v>
      </c>
    </row>
    <row r="188" spans="1:3" x14ac:dyDescent="0.35">
      <c r="A188" t="s">
        <v>93</v>
      </c>
      <c r="B188" t="s">
        <v>312</v>
      </c>
    </row>
    <row r="189" spans="1:3" x14ac:dyDescent="0.35">
      <c r="A189" t="s">
        <v>81</v>
      </c>
      <c r="B189" t="s">
        <v>312</v>
      </c>
    </row>
    <row r="190" spans="1:3" x14ac:dyDescent="0.35">
      <c r="A190" t="s">
        <v>9</v>
      </c>
      <c r="B190" t="s">
        <v>268</v>
      </c>
    </row>
    <row r="191" spans="1:3" x14ac:dyDescent="0.35">
      <c r="A191" t="s">
        <v>92</v>
      </c>
      <c r="B191" t="s">
        <v>281</v>
      </c>
    </row>
    <row r="192" spans="1:3" x14ac:dyDescent="0.35">
      <c r="A192" t="s">
        <v>144</v>
      </c>
      <c r="B192" t="s">
        <v>267</v>
      </c>
    </row>
    <row r="193" spans="1:3" x14ac:dyDescent="0.35">
      <c r="A193" s="1" t="s">
        <v>139</v>
      </c>
      <c r="B193" t="s">
        <v>263</v>
      </c>
    </row>
    <row r="194" spans="1:3" x14ac:dyDescent="0.35">
      <c r="A194" t="s">
        <v>391</v>
      </c>
      <c r="B194" t="s">
        <v>263</v>
      </c>
    </row>
    <row r="195" spans="1:3" x14ac:dyDescent="0.35">
      <c r="A195" t="s">
        <v>392</v>
      </c>
      <c r="B195" t="s">
        <v>271</v>
      </c>
    </row>
    <row r="196" spans="1:3" x14ac:dyDescent="0.35">
      <c r="A196" t="s">
        <v>393</v>
      </c>
      <c r="B196" t="s">
        <v>394</v>
      </c>
    </row>
    <row r="197" spans="1:3" x14ac:dyDescent="0.35">
      <c r="A197" t="s">
        <v>395</v>
      </c>
      <c r="B197" t="s">
        <v>298</v>
      </c>
    </row>
    <row r="198" spans="1:3" x14ac:dyDescent="0.35">
      <c r="A198" t="s">
        <v>41</v>
      </c>
      <c r="B198" t="s">
        <v>177</v>
      </c>
    </row>
    <row r="199" spans="1:3" x14ac:dyDescent="0.35">
      <c r="A199" t="s">
        <v>396</v>
      </c>
      <c r="B199" t="s">
        <v>178</v>
      </c>
    </row>
    <row r="200" spans="1:3" x14ac:dyDescent="0.35">
      <c r="A200" t="s">
        <v>199</v>
      </c>
      <c r="B200" t="s">
        <v>176</v>
      </c>
    </row>
    <row r="201" spans="1:3" x14ac:dyDescent="0.35">
      <c r="A201" t="s">
        <v>203</v>
      </c>
      <c r="B201" t="s">
        <v>176</v>
      </c>
    </row>
    <row r="202" spans="1:3" x14ac:dyDescent="0.35">
      <c r="A202" t="s">
        <v>397</v>
      </c>
      <c r="B202" t="s">
        <v>263</v>
      </c>
    </row>
    <row r="203" spans="1:3" x14ac:dyDescent="0.35">
      <c r="A203" t="s">
        <v>232</v>
      </c>
      <c r="B203" t="s">
        <v>295</v>
      </c>
    </row>
    <row r="204" spans="1:3" x14ac:dyDescent="0.35">
      <c r="A204" t="s">
        <v>118</v>
      </c>
      <c r="B204" t="s">
        <v>295</v>
      </c>
    </row>
    <row r="205" spans="1:3" x14ac:dyDescent="0.35">
      <c r="A205" t="s">
        <v>398</v>
      </c>
      <c r="B205" t="s">
        <v>399</v>
      </c>
    </row>
    <row r="206" spans="1:3" x14ac:dyDescent="0.35">
      <c r="A206" t="s">
        <v>400</v>
      </c>
      <c r="B206" t="s">
        <v>263</v>
      </c>
    </row>
    <row r="207" spans="1:3" x14ac:dyDescent="0.35">
      <c r="A207" s="1" t="s">
        <v>154</v>
      </c>
      <c r="B207" t="s">
        <v>267</v>
      </c>
      <c r="C207" t="s">
        <v>275</v>
      </c>
    </row>
    <row r="208" spans="1:3" x14ac:dyDescent="0.35">
      <c r="A208" t="s">
        <v>82</v>
      </c>
      <c r="B208" t="s">
        <v>350</v>
      </c>
    </row>
    <row r="209" spans="1:3" x14ac:dyDescent="0.35">
      <c r="A209" t="s">
        <v>94</v>
      </c>
      <c r="B209" t="s">
        <v>350</v>
      </c>
    </row>
    <row r="210" spans="1:3" x14ac:dyDescent="0.35">
      <c r="A210" t="s">
        <v>163</v>
      </c>
      <c r="B210" t="s">
        <v>168</v>
      </c>
    </row>
    <row r="211" spans="1:3" x14ac:dyDescent="0.35">
      <c r="A211" t="s">
        <v>401</v>
      </c>
      <c r="B211" t="s">
        <v>402</v>
      </c>
    </row>
    <row r="212" spans="1:3" x14ac:dyDescent="0.35">
      <c r="A212" t="s">
        <v>65</v>
      </c>
      <c r="B212" t="s">
        <v>313</v>
      </c>
    </row>
    <row r="213" spans="1:3" x14ac:dyDescent="0.35">
      <c r="A213" t="s">
        <v>214</v>
      </c>
      <c r="B213" t="s">
        <v>176</v>
      </c>
    </row>
    <row r="214" spans="1:3" x14ac:dyDescent="0.35">
      <c r="A214" t="s">
        <v>205</v>
      </c>
      <c r="B214" t="s">
        <v>176</v>
      </c>
    </row>
    <row r="215" spans="1:3" x14ac:dyDescent="0.35">
      <c r="A215" t="s">
        <v>95</v>
      </c>
      <c r="B215" t="s">
        <v>277</v>
      </c>
    </row>
    <row r="216" spans="1:3" x14ac:dyDescent="0.35">
      <c r="A216" t="s">
        <v>403</v>
      </c>
      <c r="B216" t="s">
        <v>260</v>
      </c>
    </row>
    <row r="217" spans="1:3" x14ac:dyDescent="0.35">
      <c r="A217" t="s">
        <v>404</v>
      </c>
      <c r="B217" t="s">
        <v>267</v>
      </c>
      <c r="C217" t="s">
        <v>275</v>
      </c>
    </row>
    <row r="218" spans="1:3" x14ac:dyDescent="0.35">
      <c r="A218" t="s">
        <v>22</v>
      </c>
      <c r="B218" t="s">
        <v>169</v>
      </c>
    </row>
    <row r="219" spans="1:3" x14ac:dyDescent="0.35">
      <c r="A219" t="s">
        <v>126</v>
      </c>
      <c r="B219" t="s">
        <v>267</v>
      </c>
    </row>
    <row r="220" spans="1:3" x14ac:dyDescent="0.35">
      <c r="A220" s="1" t="s">
        <v>126</v>
      </c>
      <c r="B220" t="s">
        <v>281</v>
      </c>
    </row>
    <row r="221" spans="1:3" x14ac:dyDescent="0.35">
      <c r="A221" t="s">
        <v>405</v>
      </c>
      <c r="B221" t="s">
        <v>292</v>
      </c>
    </row>
    <row r="222" spans="1:3" x14ac:dyDescent="0.35">
      <c r="A222" t="s">
        <v>198</v>
      </c>
      <c r="B222" t="s">
        <v>271</v>
      </c>
    </row>
    <row r="223" spans="1:3" x14ac:dyDescent="0.35">
      <c r="A223" t="s">
        <v>406</v>
      </c>
      <c r="B223" t="s">
        <v>172</v>
      </c>
    </row>
    <row r="224" spans="1:3" x14ac:dyDescent="0.35">
      <c r="A224" t="s">
        <v>222</v>
      </c>
      <c r="B224" t="s">
        <v>176</v>
      </c>
    </row>
    <row r="225" spans="1:3" x14ac:dyDescent="0.35">
      <c r="A225" s="1" t="s">
        <v>129</v>
      </c>
      <c r="B225" t="s">
        <v>263</v>
      </c>
    </row>
    <row r="226" spans="1:3" x14ac:dyDescent="0.35">
      <c r="A226" t="s">
        <v>190</v>
      </c>
      <c r="B226" t="s">
        <v>407</v>
      </c>
    </row>
    <row r="227" spans="1:3" x14ac:dyDescent="0.35">
      <c r="A227" t="s">
        <v>408</v>
      </c>
      <c r="B227" t="s">
        <v>168</v>
      </c>
    </row>
    <row r="228" spans="1:3" x14ac:dyDescent="0.35">
      <c r="A228" t="s">
        <v>162</v>
      </c>
      <c r="B228" t="s">
        <v>168</v>
      </c>
    </row>
    <row r="229" spans="1:3" x14ac:dyDescent="0.35">
      <c r="A229" s="1" t="s">
        <v>132</v>
      </c>
      <c r="B229" t="s">
        <v>267</v>
      </c>
      <c r="C229" t="s">
        <v>275</v>
      </c>
    </row>
    <row r="230" spans="1:3" x14ac:dyDescent="0.35">
      <c r="A230" t="s">
        <v>10</v>
      </c>
      <c r="B230" t="s">
        <v>169</v>
      </c>
    </row>
    <row r="231" spans="1:3" x14ac:dyDescent="0.35">
      <c r="A231" s="1" t="s">
        <v>119</v>
      </c>
      <c r="B231" t="s">
        <v>169</v>
      </c>
    </row>
    <row r="232" spans="1:3" x14ac:dyDescent="0.35">
      <c r="A232" t="s">
        <v>409</v>
      </c>
      <c r="B232" t="s">
        <v>298</v>
      </c>
    </row>
    <row r="233" spans="1:3" x14ac:dyDescent="0.35">
      <c r="A233" t="s">
        <v>209</v>
      </c>
      <c r="B233" t="s">
        <v>176</v>
      </c>
    </row>
    <row r="234" spans="1:3" x14ac:dyDescent="0.35">
      <c r="A234" t="s">
        <v>167</v>
      </c>
      <c r="B234" t="s">
        <v>168</v>
      </c>
    </row>
    <row r="235" spans="1:3" x14ac:dyDescent="0.35">
      <c r="A235" t="s">
        <v>173</v>
      </c>
      <c r="B235" t="s">
        <v>168</v>
      </c>
    </row>
    <row r="236" spans="1:3" x14ac:dyDescent="0.35">
      <c r="A236" t="s">
        <v>250</v>
      </c>
      <c r="B236" t="s">
        <v>176</v>
      </c>
    </row>
    <row r="237" spans="1:3" x14ac:dyDescent="0.35">
      <c r="A237" t="s">
        <v>213</v>
      </c>
      <c r="B237" t="s">
        <v>176</v>
      </c>
    </row>
    <row r="238" spans="1:3" x14ac:dyDescent="0.35">
      <c r="A238" t="s">
        <v>410</v>
      </c>
      <c r="B238" t="s">
        <v>263</v>
      </c>
    </row>
    <row r="239" spans="1:3" x14ac:dyDescent="0.35">
      <c r="A239" s="1" t="s">
        <v>86</v>
      </c>
      <c r="B239" t="s">
        <v>343</v>
      </c>
    </row>
    <row r="240" spans="1:3" x14ac:dyDescent="0.35">
      <c r="A240" s="1" t="s">
        <v>117</v>
      </c>
      <c r="B240" t="s">
        <v>343</v>
      </c>
    </row>
    <row r="241" spans="1:2" x14ac:dyDescent="0.35">
      <c r="A241" t="s">
        <v>40</v>
      </c>
      <c r="B241" t="s">
        <v>177</v>
      </c>
    </row>
    <row r="242" spans="1:2" x14ac:dyDescent="0.35">
      <c r="A242" t="s">
        <v>200</v>
      </c>
      <c r="B242" t="s">
        <v>176</v>
      </c>
    </row>
    <row r="243" spans="1:2" x14ac:dyDescent="0.35">
      <c r="A243" t="s">
        <v>202</v>
      </c>
      <c r="B243" t="s">
        <v>176</v>
      </c>
    </row>
    <row r="244" spans="1:2" x14ac:dyDescent="0.35">
      <c r="A244" t="s">
        <v>411</v>
      </c>
      <c r="B244" t="s">
        <v>176</v>
      </c>
    </row>
    <row r="245" spans="1:2" x14ac:dyDescent="0.35">
      <c r="A245" t="s">
        <v>412</v>
      </c>
      <c r="B245" t="s">
        <v>176</v>
      </c>
    </row>
    <row r="246" spans="1:2" x14ac:dyDescent="0.35">
      <c r="A246" s="1" t="s">
        <v>124</v>
      </c>
      <c r="B246" t="s">
        <v>382</v>
      </c>
    </row>
    <row r="247" spans="1:2" x14ac:dyDescent="0.35">
      <c r="A247" t="s">
        <v>413</v>
      </c>
      <c r="B247" t="s">
        <v>178</v>
      </c>
    </row>
    <row r="248" spans="1:2" x14ac:dyDescent="0.35">
      <c r="A248" t="s">
        <v>414</v>
      </c>
      <c r="B248" t="s">
        <v>176</v>
      </c>
    </row>
    <row r="249" spans="1:2" x14ac:dyDescent="0.35">
      <c r="A249" t="s">
        <v>217</v>
      </c>
      <c r="B249" t="s">
        <v>168</v>
      </c>
    </row>
    <row r="250" spans="1:2" x14ac:dyDescent="0.35">
      <c r="A250" t="s">
        <v>207</v>
      </c>
      <c r="B250" t="s">
        <v>312</v>
      </c>
    </row>
    <row r="251" spans="1:2" x14ac:dyDescent="0.35">
      <c r="A251" t="s">
        <v>415</v>
      </c>
      <c r="B251" t="s">
        <v>416</v>
      </c>
    </row>
    <row r="252" spans="1:2" x14ac:dyDescent="0.35">
      <c r="A252" s="1" t="s">
        <v>161</v>
      </c>
      <c r="B252" t="s">
        <v>292</v>
      </c>
    </row>
    <row r="253" spans="1:2" x14ac:dyDescent="0.35">
      <c r="A253" t="s">
        <v>30</v>
      </c>
      <c r="B253" t="s">
        <v>178</v>
      </c>
    </row>
    <row r="254" spans="1:2" x14ac:dyDescent="0.35">
      <c r="A254" t="s">
        <v>15</v>
      </c>
      <c r="B254" t="s">
        <v>178</v>
      </c>
    </row>
    <row r="255" spans="1:2" x14ac:dyDescent="0.35">
      <c r="A255" t="s">
        <v>417</v>
      </c>
      <c r="B255" t="s">
        <v>418</v>
      </c>
    </row>
    <row r="256" spans="1:2" x14ac:dyDescent="0.35">
      <c r="A256" t="s">
        <v>66</v>
      </c>
      <c r="B256" t="s">
        <v>263</v>
      </c>
    </row>
    <row r="257" spans="1:3" x14ac:dyDescent="0.35">
      <c r="A257" s="1" t="s">
        <v>108</v>
      </c>
      <c r="B257" t="s">
        <v>267</v>
      </c>
      <c r="C257" t="s">
        <v>419</v>
      </c>
    </row>
    <row r="258" spans="1:3" x14ac:dyDescent="0.35">
      <c r="A258" t="s">
        <v>420</v>
      </c>
      <c r="B258" t="s">
        <v>267</v>
      </c>
      <c r="C258" t="s">
        <v>421</v>
      </c>
    </row>
    <row r="259" spans="1:3" x14ac:dyDescent="0.35">
      <c r="A259" t="s">
        <v>422</v>
      </c>
      <c r="B259" t="s">
        <v>261</v>
      </c>
    </row>
    <row r="260" spans="1:3" x14ac:dyDescent="0.35">
      <c r="A260" t="s">
        <v>423</v>
      </c>
      <c r="B260" t="s">
        <v>295</v>
      </c>
    </row>
    <row r="261" spans="1:3" x14ac:dyDescent="0.35">
      <c r="A261" t="s">
        <v>424</v>
      </c>
      <c r="B261" t="s">
        <v>281</v>
      </c>
    </row>
    <row r="262" spans="1:3" x14ac:dyDescent="0.35">
      <c r="A262" t="s">
        <v>425</v>
      </c>
      <c r="B262" t="s">
        <v>281</v>
      </c>
    </row>
    <row r="263" spans="1:3" x14ac:dyDescent="0.35">
      <c r="A263" s="1" t="s">
        <v>147</v>
      </c>
      <c r="B263" t="s">
        <v>267</v>
      </c>
      <c r="C263" t="s">
        <v>275</v>
      </c>
    </row>
    <row r="264" spans="1:3" x14ac:dyDescent="0.35">
      <c r="A264" t="s">
        <v>426</v>
      </c>
      <c r="B264" t="s">
        <v>267</v>
      </c>
    </row>
    <row r="265" spans="1:3" x14ac:dyDescent="0.35">
      <c r="A265" t="s">
        <v>427</v>
      </c>
      <c r="B265" t="s">
        <v>267</v>
      </c>
      <c r="C265" t="s">
        <v>428</v>
      </c>
    </row>
    <row r="266" spans="1:3" x14ac:dyDescent="0.35">
      <c r="A266" s="1" t="s">
        <v>157</v>
      </c>
      <c r="B266" t="s">
        <v>267</v>
      </c>
      <c r="C266" t="s">
        <v>429</v>
      </c>
    </row>
    <row r="267" spans="1:3" x14ac:dyDescent="0.35">
      <c r="A267" t="s">
        <v>430</v>
      </c>
      <c r="B267" t="s">
        <v>169</v>
      </c>
    </row>
    <row r="268" spans="1:3" x14ac:dyDescent="0.35">
      <c r="A268" t="s">
        <v>171</v>
      </c>
      <c r="B268" t="s">
        <v>172</v>
      </c>
    </row>
    <row r="269" spans="1:3" x14ac:dyDescent="0.35">
      <c r="A269" t="s">
        <v>174</v>
      </c>
      <c r="B269" t="s">
        <v>172</v>
      </c>
    </row>
    <row r="270" spans="1:3" x14ac:dyDescent="0.35">
      <c r="A270" t="s">
        <v>149</v>
      </c>
      <c r="B270" t="s">
        <v>287</v>
      </c>
    </row>
    <row r="271" spans="1:3" x14ac:dyDescent="0.35">
      <c r="A271" t="s">
        <v>431</v>
      </c>
      <c r="B271" t="s">
        <v>179</v>
      </c>
    </row>
    <row r="272" spans="1:3" x14ac:dyDescent="0.35">
      <c r="A272" t="s">
        <v>432</v>
      </c>
      <c r="B272" t="s">
        <v>267</v>
      </c>
      <c r="C272" t="s">
        <v>433</v>
      </c>
    </row>
    <row r="273" spans="1:3" x14ac:dyDescent="0.35">
      <c r="A273" t="s">
        <v>181</v>
      </c>
      <c r="B273" t="s">
        <v>402</v>
      </c>
    </row>
    <row r="274" spans="1:3" x14ac:dyDescent="0.35">
      <c r="A274" t="s">
        <v>16</v>
      </c>
      <c r="B274" t="s">
        <v>177</v>
      </c>
    </row>
    <row r="275" spans="1:3" x14ac:dyDescent="0.35">
      <c r="A275" t="s">
        <v>434</v>
      </c>
      <c r="B275" t="s">
        <v>177</v>
      </c>
    </row>
    <row r="276" spans="1:3" x14ac:dyDescent="0.35">
      <c r="A276" s="1" t="s">
        <v>87</v>
      </c>
      <c r="B276" t="s">
        <v>343</v>
      </c>
    </row>
    <row r="277" spans="1:3" x14ac:dyDescent="0.35">
      <c r="A277" t="s">
        <v>435</v>
      </c>
      <c r="B277" t="s">
        <v>271</v>
      </c>
    </row>
    <row r="278" spans="1:3" x14ac:dyDescent="0.35">
      <c r="A278" s="1" t="s">
        <v>153</v>
      </c>
      <c r="B278" t="s">
        <v>267</v>
      </c>
      <c r="C278" t="s">
        <v>275</v>
      </c>
    </row>
    <row r="279" spans="1:3" x14ac:dyDescent="0.35">
      <c r="A279" t="s">
        <v>143</v>
      </c>
      <c r="B279" t="s">
        <v>267</v>
      </c>
    </row>
    <row r="280" spans="1:3" x14ac:dyDescent="0.35">
      <c r="A280" t="s">
        <v>224</v>
      </c>
      <c r="B280" t="s">
        <v>176</v>
      </c>
    </row>
    <row r="281" spans="1:3" x14ac:dyDescent="0.35">
      <c r="A281" t="s">
        <v>44</v>
      </c>
      <c r="B281" t="s">
        <v>271</v>
      </c>
    </row>
    <row r="282" spans="1:3" x14ac:dyDescent="0.35">
      <c r="A282" t="s">
        <v>78</v>
      </c>
      <c r="B282" t="s">
        <v>271</v>
      </c>
    </row>
    <row r="283" spans="1:3" x14ac:dyDescent="0.35">
      <c r="A283" t="s">
        <v>436</v>
      </c>
      <c r="B283" t="s">
        <v>178</v>
      </c>
    </row>
    <row r="284" spans="1:3" x14ac:dyDescent="0.35">
      <c r="A284" t="s">
        <v>437</v>
      </c>
      <c r="B284" t="s">
        <v>271</v>
      </c>
    </row>
    <row r="285" spans="1:3" x14ac:dyDescent="0.35">
      <c r="A285" t="s">
        <v>80</v>
      </c>
      <c r="B285" t="s">
        <v>281</v>
      </c>
    </row>
    <row r="286" spans="1:3" x14ac:dyDescent="0.35">
      <c r="A286" t="s">
        <v>438</v>
      </c>
      <c r="B286" t="s">
        <v>179</v>
      </c>
    </row>
    <row r="287" spans="1:3" x14ac:dyDescent="0.35">
      <c r="A287" t="s">
        <v>439</v>
      </c>
      <c r="B287" t="s">
        <v>347</v>
      </c>
    </row>
    <row r="288" spans="1:3" x14ac:dyDescent="0.35">
      <c r="A288" t="s">
        <v>440</v>
      </c>
      <c r="B288" t="s">
        <v>347</v>
      </c>
    </row>
    <row r="289" spans="1:3" x14ac:dyDescent="0.35">
      <c r="A289" t="s">
        <v>441</v>
      </c>
      <c r="B289" t="s">
        <v>347</v>
      </c>
    </row>
    <row r="290" spans="1:3" x14ac:dyDescent="0.35">
      <c r="A290" t="s">
        <v>183</v>
      </c>
      <c r="B290" t="s">
        <v>168</v>
      </c>
    </row>
    <row r="291" spans="1:3" x14ac:dyDescent="0.35">
      <c r="A291" t="s">
        <v>187</v>
      </c>
      <c r="B291" t="s">
        <v>168</v>
      </c>
    </row>
    <row r="292" spans="1:3" x14ac:dyDescent="0.35">
      <c r="A292" t="s">
        <v>35</v>
      </c>
      <c r="B292" t="s">
        <v>176</v>
      </c>
    </row>
    <row r="293" spans="1:3" x14ac:dyDescent="0.35">
      <c r="A293" t="s">
        <v>88</v>
      </c>
      <c r="B293" t="s">
        <v>267</v>
      </c>
      <c r="C293" t="s">
        <v>442</v>
      </c>
    </row>
    <row r="294" spans="1:3" x14ac:dyDescent="0.35">
      <c r="A294" t="s">
        <v>204</v>
      </c>
      <c r="B294" t="s">
        <v>278</v>
      </c>
    </row>
    <row r="295" spans="1:3" x14ac:dyDescent="0.35">
      <c r="A295" t="s">
        <v>223</v>
      </c>
      <c r="B295" t="s">
        <v>278</v>
      </c>
    </row>
    <row r="296" spans="1:3" x14ac:dyDescent="0.35">
      <c r="A296" t="s">
        <v>443</v>
      </c>
      <c r="B296" t="s">
        <v>179</v>
      </c>
    </row>
    <row r="297" spans="1:3" x14ac:dyDescent="0.35">
      <c r="A297" t="s">
        <v>444</v>
      </c>
      <c r="B297" t="s">
        <v>168</v>
      </c>
    </row>
    <row r="298" spans="1:3" x14ac:dyDescent="0.35">
      <c r="A298" t="s">
        <v>445</v>
      </c>
      <c r="B298" t="s">
        <v>263</v>
      </c>
    </row>
    <row r="299" spans="1:3" x14ac:dyDescent="0.35">
      <c r="A299" t="s">
        <v>446</v>
      </c>
      <c r="B299" t="s">
        <v>260</v>
      </c>
    </row>
    <row r="300" spans="1:3" x14ac:dyDescent="0.35">
      <c r="A300" t="s">
        <v>447</v>
      </c>
      <c r="B300" t="s">
        <v>260</v>
      </c>
    </row>
    <row r="301" spans="1:3" x14ac:dyDescent="0.35">
      <c r="A301" t="s">
        <v>48</v>
      </c>
      <c r="B301" t="s">
        <v>260</v>
      </c>
    </row>
    <row r="302" spans="1:3" x14ac:dyDescent="0.35">
      <c r="A302" t="s">
        <v>68</v>
      </c>
      <c r="B302" t="s">
        <v>298</v>
      </c>
    </row>
    <row r="303" spans="1:3" x14ac:dyDescent="0.35">
      <c r="A303" t="s">
        <v>448</v>
      </c>
      <c r="B303" t="s">
        <v>267</v>
      </c>
    </row>
    <row r="304" spans="1:3" x14ac:dyDescent="0.35">
      <c r="A304" t="s">
        <v>449</v>
      </c>
      <c r="B304" t="s">
        <v>450</v>
      </c>
    </row>
    <row r="305" spans="1:3" x14ac:dyDescent="0.35">
      <c r="A305" t="s">
        <v>451</v>
      </c>
      <c r="B305" t="s">
        <v>263</v>
      </c>
    </row>
    <row r="306" spans="1:3" x14ac:dyDescent="0.35">
      <c r="A306" t="s">
        <v>196</v>
      </c>
      <c r="B306" t="s">
        <v>267</v>
      </c>
      <c r="C306" t="s">
        <v>452</v>
      </c>
    </row>
    <row r="307" spans="1:3" x14ac:dyDescent="0.35">
      <c r="A307" t="s">
        <v>453</v>
      </c>
      <c r="B307" t="s">
        <v>267</v>
      </c>
      <c r="C307" t="s">
        <v>454</v>
      </c>
    </row>
    <row r="308" spans="1:3" x14ac:dyDescent="0.35">
      <c r="A308" t="s">
        <v>455</v>
      </c>
      <c r="B308" t="s">
        <v>260</v>
      </c>
    </row>
    <row r="309" spans="1:3" x14ac:dyDescent="0.35">
      <c r="A309" t="s">
        <v>456</v>
      </c>
      <c r="B309" t="s">
        <v>267</v>
      </c>
    </row>
    <row r="310" spans="1:3" x14ac:dyDescent="0.35">
      <c r="A310" t="s">
        <v>457</v>
      </c>
      <c r="B310" t="s">
        <v>267</v>
      </c>
    </row>
    <row r="311" spans="1:3" x14ac:dyDescent="0.35">
      <c r="A311" t="s">
        <v>97</v>
      </c>
      <c r="B311" t="s">
        <v>177</v>
      </c>
    </row>
    <row r="312" spans="1:3" x14ac:dyDescent="0.35">
      <c r="A312" t="s">
        <v>458</v>
      </c>
      <c r="B312" t="s">
        <v>267</v>
      </c>
      <c r="C312" t="s">
        <v>275</v>
      </c>
    </row>
    <row r="313" spans="1:3" x14ac:dyDescent="0.35">
      <c r="A313" s="1" t="s">
        <v>138</v>
      </c>
      <c r="B313" t="s">
        <v>263</v>
      </c>
    </row>
    <row r="314" spans="1:3" x14ac:dyDescent="0.35">
      <c r="A314" s="1" t="s">
        <v>156</v>
      </c>
      <c r="B314" t="s">
        <v>263</v>
      </c>
    </row>
    <row r="315" spans="1:3" x14ac:dyDescent="0.35">
      <c r="A315" t="s">
        <v>459</v>
      </c>
      <c r="B315" t="s">
        <v>263</v>
      </c>
    </row>
    <row r="316" spans="1:3" x14ac:dyDescent="0.35">
      <c r="A316" t="s">
        <v>239</v>
      </c>
      <c r="B316" t="s">
        <v>460</v>
      </c>
    </row>
    <row r="317" spans="1:3" x14ac:dyDescent="0.35">
      <c r="A317" t="s">
        <v>14</v>
      </c>
      <c r="B317" t="s">
        <v>460</v>
      </c>
    </row>
    <row r="318" spans="1:3" x14ac:dyDescent="0.35">
      <c r="A318" t="s">
        <v>461</v>
      </c>
      <c r="B318" t="s">
        <v>267</v>
      </c>
    </row>
    <row r="319" spans="1:3" x14ac:dyDescent="0.35">
      <c r="A319" t="s">
        <v>462</v>
      </c>
      <c r="B319" t="s">
        <v>463</v>
      </c>
    </row>
    <row r="320" spans="1:3" x14ac:dyDescent="0.35">
      <c r="A320" t="s">
        <v>34</v>
      </c>
      <c r="B320" t="s">
        <v>464</v>
      </c>
    </row>
    <row r="321" spans="1:3" x14ac:dyDescent="0.35">
      <c r="A321" t="s">
        <v>211</v>
      </c>
      <c r="B321" t="s">
        <v>178</v>
      </c>
    </row>
    <row r="322" spans="1:3" x14ac:dyDescent="0.35">
      <c r="A322" t="s">
        <v>215</v>
      </c>
      <c r="B322" t="s">
        <v>178</v>
      </c>
    </row>
    <row r="323" spans="1:3" x14ac:dyDescent="0.35">
      <c r="A323" t="s">
        <v>42</v>
      </c>
      <c r="B323" t="s">
        <v>260</v>
      </c>
    </row>
    <row r="324" spans="1:3" x14ac:dyDescent="0.35">
      <c r="A324" t="s">
        <v>49</v>
      </c>
      <c r="B324" t="s">
        <v>260</v>
      </c>
    </row>
    <row r="325" spans="1:3" x14ac:dyDescent="0.35">
      <c r="A325" t="s">
        <v>465</v>
      </c>
      <c r="B325" t="s">
        <v>267</v>
      </c>
      <c r="C325" t="s">
        <v>466</v>
      </c>
    </row>
    <row r="326" spans="1:3" x14ac:dyDescent="0.35">
      <c r="A326" t="s">
        <v>467</v>
      </c>
      <c r="B326" t="s">
        <v>277</v>
      </c>
    </row>
    <row r="327" spans="1:3" x14ac:dyDescent="0.35">
      <c r="A327" t="s">
        <v>18</v>
      </c>
      <c r="B327" t="s">
        <v>172</v>
      </c>
    </row>
    <row r="328" spans="1:3" x14ac:dyDescent="0.35">
      <c r="A328" t="s">
        <v>468</v>
      </c>
      <c r="B328" t="s">
        <v>295</v>
      </c>
    </row>
    <row r="329" spans="1:3" x14ac:dyDescent="0.35">
      <c r="A329" t="s">
        <v>24</v>
      </c>
      <c r="B329" t="s">
        <v>172</v>
      </c>
    </row>
    <row r="330" spans="1:3" x14ac:dyDescent="0.35">
      <c r="A330" t="s">
        <v>248</v>
      </c>
      <c r="B330" t="s">
        <v>176</v>
      </c>
    </row>
    <row r="331" spans="1:3" x14ac:dyDescent="0.35">
      <c r="A331" t="s">
        <v>240</v>
      </c>
      <c r="B331" t="s">
        <v>263</v>
      </c>
    </row>
    <row r="332" spans="1:3" x14ac:dyDescent="0.35">
      <c r="A332" s="1" t="s">
        <v>193</v>
      </c>
      <c r="B332" t="s">
        <v>469</v>
      </c>
    </row>
    <row r="333" spans="1:3" x14ac:dyDescent="0.35">
      <c r="A333" s="1" t="s">
        <v>135</v>
      </c>
      <c r="B333" t="s">
        <v>267</v>
      </c>
      <c r="C333" t="s">
        <v>275</v>
      </c>
    </row>
    <row r="334" spans="1:3" x14ac:dyDescent="0.35">
      <c r="A334" s="1" t="s">
        <v>134</v>
      </c>
      <c r="B334" t="s">
        <v>267</v>
      </c>
      <c r="C334" t="s">
        <v>275</v>
      </c>
    </row>
    <row r="335" spans="1:3" x14ac:dyDescent="0.35">
      <c r="A335" t="s">
        <v>470</v>
      </c>
      <c r="B335" t="s">
        <v>168</v>
      </c>
    </row>
    <row r="336" spans="1:3" x14ac:dyDescent="0.35">
      <c r="A336" t="s">
        <v>471</v>
      </c>
      <c r="B336" t="s">
        <v>168</v>
      </c>
    </row>
    <row r="337" spans="1:3" x14ac:dyDescent="0.35">
      <c r="A337" t="s">
        <v>472</v>
      </c>
      <c r="B337" t="s">
        <v>473</v>
      </c>
    </row>
    <row r="338" spans="1:3" x14ac:dyDescent="0.35">
      <c r="A338" t="s">
        <v>474</v>
      </c>
      <c r="B338" t="s">
        <v>267</v>
      </c>
      <c r="C338" t="s">
        <v>475</v>
      </c>
    </row>
    <row r="339" spans="1:3" x14ac:dyDescent="0.35">
      <c r="A339" s="1" t="s">
        <v>116</v>
      </c>
      <c r="B339" t="s">
        <v>267</v>
      </c>
    </row>
    <row r="340" spans="1:3" x14ac:dyDescent="0.35">
      <c r="A340" t="s">
        <v>27</v>
      </c>
      <c r="B340" t="s">
        <v>177</v>
      </c>
    </row>
    <row r="341" spans="1:3" x14ac:dyDescent="0.35">
      <c r="A341" t="s">
        <v>105</v>
      </c>
      <c r="B341" t="s">
        <v>476</v>
      </c>
    </row>
    <row r="342" spans="1:3" x14ac:dyDescent="0.35">
      <c r="A342" t="s">
        <v>477</v>
      </c>
      <c r="B342" t="s">
        <v>179</v>
      </c>
    </row>
    <row r="343" spans="1:3" x14ac:dyDescent="0.35">
      <c r="A343" s="1" t="s">
        <v>120</v>
      </c>
      <c r="B343" t="s">
        <v>295</v>
      </c>
    </row>
    <row r="344" spans="1:3" x14ac:dyDescent="0.35">
      <c r="A344" s="1" t="s">
        <v>122</v>
      </c>
      <c r="B344" t="s">
        <v>295</v>
      </c>
    </row>
    <row r="345" spans="1:3" x14ac:dyDescent="0.35">
      <c r="A345" t="s">
        <v>478</v>
      </c>
      <c r="B345" t="s">
        <v>178</v>
      </c>
    </row>
    <row r="346" spans="1:3" x14ac:dyDescent="0.35">
      <c r="A346" t="s">
        <v>479</v>
      </c>
      <c r="B346" t="s">
        <v>176</v>
      </c>
    </row>
    <row r="347" spans="1:3" x14ac:dyDescent="0.35">
      <c r="A347" s="1" t="s">
        <v>128</v>
      </c>
      <c r="B347" t="s">
        <v>267</v>
      </c>
      <c r="C347" t="s">
        <v>275</v>
      </c>
    </row>
    <row r="348" spans="1:3" x14ac:dyDescent="0.35">
      <c r="A348" t="s">
        <v>480</v>
      </c>
      <c r="B348" t="s">
        <v>178</v>
      </c>
    </row>
    <row r="349" spans="1:3" x14ac:dyDescent="0.35">
      <c r="A349" t="s">
        <v>481</v>
      </c>
      <c r="B349" t="s">
        <v>281</v>
      </c>
    </row>
    <row r="350" spans="1:3" x14ac:dyDescent="0.35">
      <c r="A350" t="s">
        <v>482</v>
      </c>
      <c r="B350" t="s">
        <v>271</v>
      </c>
    </row>
    <row r="351" spans="1:3" x14ac:dyDescent="0.35">
      <c r="A351" t="s">
        <v>26</v>
      </c>
      <c r="B351" t="s">
        <v>271</v>
      </c>
    </row>
    <row r="352" spans="1:3" x14ac:dyDescent="0.35">
      <c r="A352" t="s">
        <v>483</v>
      </c>
      <c r="B352" t="s">
        <v>267</v>
      </c>
    </row>
    <row r="353" spans="1:3" x14ac:dyDescent="0.35">
      <c r="A353" t="s">
        <v>483</v>
      </c>
      <c r="B353" t="s">
        <v>176</v>
      </c>
    </row>
    <row r="354" spans="1:3" x14ac:dyDescent="0.35">
      <c r="A354" t="s">
        <v>54</v>
      </c>
      <c r="B354" t="s">
        <v>313</v>
      </c>
    </row>
    <row r="355" spans="1:3" x14ac:dyDescent="0.35">
      <c r="A355" t="s">
        <v>62</v>
      </c>
      <c r="B355" t="s">
        <v>313</v>
      </c>
    </row>
    <row r="356" spans="1:3" x14ac:dyDescent="0.35">
      <c r="A356" t="s">
        <v>484</v>
      </c>
      <c r="B356" t="s">
        <v>179</v>
      </c>
    </row>
    <row r="357" spans="1:3" x14ac:dyDescent="0.35">
      <c r="A357" t="s">
        <v>53</v>
      </c>
      <c r="B357" t="s">
        <v>168</v>
      </c>
    </row>
    <row r="358" spans="1:3" x14ac:dyDescent="0.35">
      <c r="A358" s="1" t="s">
        <v>100</v>
      </c>
      <c r="B358" t="s">
        <v>267</v>
      </c>
    </row>
    <row r="359" spans="1:3" x14ac:dyDescent="0.35">
      <c r="A359" s="1" t="s">
        <v>197</v>
      </c>
      <c r="B359" t="s">
        <v>169</v>
      </c>
    </row>
    <row r="360" spans="1:3" x14ac:dyDescent="0.35">
      <c r="A360" s="1" t="s">
        <v>208</v>
      </c>
      <c r="B360" t="s">
        <v>267</v>
      </c>
      <c r="C360" t="s">
        <v>275</v>
      </c>
    </row>
    <row r="361" spans="1:3" x14ac:dyDescent="0.35">
      <c r="A361" s="1" t="s">
        <v>210</v>
      </c>
      <c r="B361" t="s">
        <v>168</v>
      </c>
    </row>
    <row r="362" spans="1:3" x14ac:dyDescent="0.35">
      <c r="A362" s="1" t="s">
        <v>216</v>
      </c>
      <c r="B362" t="s">
        <v>176</v>
      </c>
    </row>
    <row r="363" spans="1:3" x14ac:dyDescent="0.35">
      <c r="A363" s="1" t="s">
        <v>219</v>
      </c>
      <c r="B363" t="s">
        <v>168</v>
      </c>
    </row>
    <row r="364" spans="1:3" x14ac:dyDescent="0.35">
      <c r="A364" s="1" t="s">
        <v>220</v>
      </c>
      <c r="B364" t="s">
        <v>168</v>
      </c>
    </row>
    <row r="365" spans="1:3" x14ac:dyDescent="0.35">
      <c r="A365" s="1" t="s">
        <v>226</v>
      </c>
      <c r="B365" t="s">
        <v>178</v>
      </c>
    </row>
    <row r="366" spans="1:3" x14ac:dyDescent="0.35">
      <c r="A366" s="1" t="s">
        <v>228</v>
      </c>
      <c r="B366" t="s">
        <v>277</v>
      </c>
    </row>
    <row r="367" spans="1:3" x14ac:dyDescent="0.35">
      <c r="A367" s="1" t="s">
        <v>230</v>
      </c>
      <c r="B367" t="s">
        <v>179</v>
      </c>
    </row>
    <row r="368" spans="1:3" x14ac:dyDescent="0.35">
      <c r="A368" s="1" t="s">
        <v>237</v>
      </c>
      <c r="B368" t="s">
        <v>169</v>
      </c>
    </row>
    <row r="369" spans="1:3" x14ac:dyDescent="0.35">
      <c r="A369" s="1" t="s">
        <v>236</v>
      </c>
      <c r="B369" t="s">
        <v>169</v>
      </c>
    </row>
    <row r="370" spans="1:3" x14ac:dyDescent="0.35">
      <c r="A370" s="1" t="s">
        <v>235</v>
      </c>
      <c r="B370" t="s">
        <v>265</v>
      </c>
    </row>
    <row r="371" spans="1:3" x14ac:dyDescent="0.35">
      <c r="A371" s="1" t="s">
        <v>234</v>
      </c>
      <c r="B371" t="s">
        <v>292</v>
      </c>
    </row>
    <row r="372" spans="1:3" x14ac:dyDescent="0.35">
      <c r="A372" s="1" t="s">
        <v>241</v>
      </c>
      <c r="B372" t="s">
        <v>176</v>
      </c>
    </row>
    <row r="373" spans="1:3" x14ac:dyDescent="0.35">
      <c r="A373" s="1" t="s">
        <v>242</v>
      </c>
      <c r="B373" t="s">
        <v>267</v>
      </c>
      <c r="C373" t="s">
        <v>485</v>
      </c>
    </row>
    <row r="374" spans="1:3" x14ac:dyDescent="0.35">
      <c r="A374" s="1" t="s">
        <v>244</v>
      </c>
      <c r="B374" t="s">
        <v>267</v>
      </c>
      <c r="C374" t="s">
        <v>275</v>
      </c>
    </row>
    <row r="375" spans="1:3" x14ac:dyDescent="0.35">
      <c r="A375" s="1" t="s">
        <v>245</v>
      </c>
      <c r="B375" t="s">
        <v>267</v>
      </c>
      <c r="C375" t="s">
        <v>485</v>
      </c>
    </row>
    <row r="376" spans="1:3" x14ac:dyDescent="0.35">
      <c r="A376" s="1" t="s">
        <v>246</v>
      </c>
      <c r="B376" t="s">
        <v>176</v>
      </c>
    </row>
    <row r="377" spans="1:3" x14ac:dyDescent="0.35">
      <c r="A377" s="1" t="s">
        <v>247</v>
      </c>
      <c r="B377" t="s">
        <v>267</v>
      </c>
      <c r="C377" t="s">
        <v>275</v>
      </c>
    </row>
    <row r="378" spans="1:3" x14ac:dyDescent="0.35">
      <c r="A378" s="1" t="s">
        <v>251</v>
      </c>
      <c r="B378" t="s">
        <v>486</v>
      </c>
    </row>
    <row r="379" spans="1:3" x14ac:dyDescent="0.35">
      <c r="A379" s="1" t="s">
        <v>252</v>
      </c>
      <c r="B379" t="s">
        <v>267</v>
      </c>
      <c r="C379" t="s">
        <v>275</v>
      </c>
    </row>
    <row r="380" spans="1:3" x14ac:dyDescent="0.35">
      <c r="A380" s="1" t="s">
        <v>253</v>
      </c>
      <c r="B380" t="s">
        <v>329</v>
      </c>
    </row>
    <row r="381" spans="1:3" x14ac:dyDescent="0.35">
      <c r="A381" s="1" t="s">
        <v>225</v>
      </c>
      <c r="B381" t="s">
        <v>178</v>
      </c>
    </row>
    <row r="382" spans="1:3" x14ac:dyDescent="0.35">
      <c r="A382" s="1" t="s">
        <v>521</v>
      </c>
      <c r="B382" t="s">
        <v>267</v>
      </c>
      <c r="C382" t="s">
        <v>520</v>
      </c>
    </row>
    <row r="383" spans="1:3" x14ac:dyDescent="0.35">
      <c r="A383" s="1" t="s">
        <v>522</v>
      </c>
      <c r="B383" t="s">
        <v>267</v>
      </c>
      <c r="C383" t="s">
        <v>275</v>
      </c>
    </row>
    <row r="384" spans="1:3" x14ac:dyDescent="0.35">
      <c r="A384" s="1" t="s">
        <v>523</v>
      </c>
      <c r="B384" t="s">
        <v>450</v>
      </c>
    </row>
    <row r="385" spans="1:4" x14ac:dyDescent="0.35">
      <c r="A385" s="1" t="s">
        <v>524</v>
      </c>
      <c r="B385" t="s">
        <v>267</v>
      </c>
      <c r="C385" t="s">
        <v>275</v>
      </c>
    </row>
    <row r="386" spans="1:4" x14ac:dyDescent="0.35">
      <c r="A386" s="1" t="s">
        <v>529</v>
      </c>
      <c r="B386" t="s">
        <v>267</v>
      </c>
      <c r="C386" t="s">
        <v>526</v>
      </c>
    </row>
    <row r="387" spans="1:4" x14ac:dyDescent="0.35">
      <c r="A387" s="1" t="s">
        <v>530</v>
      </c>
      <c r="B387" t="s">
        <v>267</v>
      </c>
      <c r="C387" t="s">
        <v>527</v>
      </c>
    </row>
    <row r="388" spans="1:4" x14ac:dyDescent="0.35">
      <c r="A388" s="1" t="s">
        <v>531</v>
      </c>
      <c r="B388" t="s">
        <v>170</v>
      </c>
    </row>
    <row r="389" spans="1:4" x14ac:dyDescent="0.35">
      <c r="A389" s="1" t="s">
        <v>532</v>
      </c>
      <c r="B389" t="s">
        <v>267</v>
      </c>
      <c r="C389" t="s">
        <v>275</v>
      </c>
    </row>
    <row r="390" spans="1:4" x14ac:dyDescent="0.35">
      <c r="A390" s="1" t="s">
        <v>533</v>
      </c>
      <c r="B390" t="s">
        <v>267</v>
      </c>
      <c r="C390" t="s">
        <v>528</v>
      </c>
    </row>
    <row r="391" spans="1:4" x14ac:dyDescent="0.35">
      <c r="A391" s="1" t="s">
        <v>540</v>
      </c>
      <c r="B391" t="s">
        <v>267</v>
      </c>
      <c r="C391" t="s">
        <v>275</v>
      </c>
    </row>
    <row r="392" spans="1:4" x14ac:dyDescent="0.35">
      <c r="A392" s="1" t="s">
        <v>541</v>
      </c>
      <c r="B392" t="s">
        <v>267</v>
      </c>
      <c r="C392" t="s">
        <v>275</v>
      </c>
    </row>
    <row r="393" spans="1:4" x14ac:dyDescent="0.35">
      <c r="A393" s="1" t="s">
        <v>542</v>
      </c>
      <c r="B393" t="s">
        <v>263</v>
      </c>
    </row>
    <row r="394" spans="1:4" x14ac:dyDescent="0.35">
      <c r="A394" s="1" t="s">
        <v>543</v>
      </c>
      <c r="B394" t="s">
        <v>267</v>
      </c>
      <c r="C394" t="s">
        <v>429</v>
      </c>
    </row>
    <row r="395" spans="1:4" x14ac:dyDescent="0.35">
      <c r="A395" s="1" t="s">
        <v>544</v>
      </c>
      <c r="B395" t="s">
        <v>267</v>
      </c>
      <c r="C395" t="s">
        <v>429</v>
      </c>
    </row>
    <row r="396" spans="1:4" x14ac:dyDescent="0.35">
      <c r="A396" s="1" t="s">
        <v>545</v>
      </c>
      <c r="B396" t="s">
        <v>267</v>
      </c>
      <c r="C396" t="s">
        <v>275</v>
      </c>
    </row>
    <row r="397" spans="1:4" x14ac:dyDescent="0.35">
      <c r="A397" s="1" t="s">
        <v>554</v>
      </c>
      <c r="B397" t="s">
        <v>407</v>
      </c>
      <c r="D397" t="s">
        <v>607</v>
      </c>
    </row>
    <row r="398" spans="1:4" x14ac:dyDescent="0.35">
      <c r="A398" s="1" t="s">
        <v>555</v>
      </c>
      <c r="B398" t="s">
        <v>292</v>
      </c>
    </row>
    <row r="399" spans="1:4" x14ac:dyDescent="0.35">
      <c r="A399" s="1" t="s">
        <v>556</v>
      </c>
      <c r="B399" t="s">
        <v>178</v>
      </c>
    </row>
    <row r="400" spans="1:4" x14ac:dyDescent="0.35">
      <c r="A400" s="1" t="s">
        <v>557</v>
      </c>
      <c r="B400" t="s">
        <v>263</v>
      </c>
    </row>
    <row r="401" spans="1:2" x14ac:dyDescent="0.35">
      <c r="A401" s="1" t="s">
        <v>558</v>
      </c>
      <c r="B401" t="s">
        <v>177</v>
      </c>
    </row>
    <row r="402" spans="1:2" x14ac:dyDescent="0.35">
      <c r="A402" s="1" t="s">
        <v>559</v>
      </c>
      <c r="B402" t="s">
        <v>298</v>
      </c>
    </row>
    <row r="403" spans="1:2" x14ac:dyDescent="0.35">
      <c r="A403" s="1" t="s">
        <v>560</v>
      </c>
      <c r="B403" t="s">
        <v>486</v>
      </c>
    </row>
    <row r="404" spans="1:2" x14ac:dyDescent="0.35">
      <c r="A404" s="1" t="s">
        <v>561</v>
      </c>
      <c r="B404" t="s">
        <v>608</v>
      </c>
    </row>
    <row r="405" spans="1:2" x14ac:dyDescent="0.35">
      <c r="A405" s="1" t="s">
        <v>562</v>
      </c>
      <c r="B405" t="s">
        <v>260</v>
      </c>
    </row>
    <row r="406" spans="1:2" x14ac:dyDescent="0.35">
      <c r="A406" s="1" t="s">
        <v>563</v>
      </c>
      <c r="B406" t="s">
        <v>263</v>
      </c>
    </row>
    <row r="407" spans="1:2" x14ac:dyDescent="0.35">
      <c r="A407" s="1" t="s">
        <v>564</v>
      </c>
      <c r="B407" t="s">
        <v>271</v>
      </c>
    </row>
    <row r="408" spans="1:2" x14ac:dyDescent="0.35">
      <c r="A408" s="1" t="s">
        <v>565</v>
      </c>
      <c r="B408" t="s">
        <v>265</v>
      </c>
    </row>
    <row r="409" spans="1:2" x14ac:dyDescent="0.35">
      <c r="A409" s="1" t="s">
        <v>566</v>
      </c>
      <c r="B409" t="s">
        <v>486</v>
      </c>
    </row>
    <row r="410" spans="1:2" x14ac:dyDescent="0.35">
      <c r="A410" s="1" t="s">
        <v>567</v>
      </c>
      <c r="B410" t="s">
        <v>168</v>
      </c>
    </row>
    <row r="411" spans="1:2" x14ac:dyDescent="0.35">
      <c r="A411" s="1" t="s">
        <v>568</v>
      </c>
      <c r="B411" t="s">
        <v>281</v>
      </c>
    </row>
    <row r="412" spans="1:2" x14ac:dyDescent="0.35">
      <c r="A412" s="1" t="s">
        <v>569</v>
      </c>
      <c r="B412" t="s">
        <v>292</v>
      </c>
    </row>
    <row r="413" spans="1:2" x14ac:dyDescent="0.35">
      <c r="A413" s="1" t="s">
        <v>570</v>
      </c>
      <c r="B413" t="s">
        <v>628</v>
      </c>
    </row>
    <row r="414" spans="1:2" x14ac:dyDescent="0.35">
      <c r="A414" s="1" t="s">
        <v>571</v>
      </c>
      <c r="B414" t="s">
        <v>176</v>
      </c>
    </row>
    <row r="415" spans="1:2" x14ac:dyDescent="0.35">
      <c r="A415" s="1" t="s">
        <v>572</v>
      </c>
      <c r="B415" t="s">
        <v>298</v>
      </c>
    </row>
    <row r="416" spans="1:2" x14ac:dyDescent="0.35">
      <c r="A416" s="1" t="s">
        <v>609</v>
      </c>
      <c r="B416" t="s">
        <v>263</v>
      </c>
    </row>
    <row r="417" spans="1:2" x14ac:dyDescent="0.35">
      <c r="A417" s="1" t="s">
        <v>610</v>
      </c>
      <c r="B417" t="s">
        <v>329</v>
      </c>
    </row>
    <row r="418" spans="1:2" x14ac:dyDescent="0.35">
      <c r="A418" s="1" t="s">
        <v>611</v>
      </c>
      <c r="B418" t="s">
        <v>298</v>
      </c>
    </row>
    <row r="419" spans="1:2" x14ac:dyDescent="0.35">
      <c r="A419" s="1" t="s">
        <v>574</v>
      </c>
      <c r="B419" t="s">
        <v>281</v>
      </c>
    </row>
    <row r="420" spans="1:2" x14ac:dyDescent="0.35">
      <c r="A420" s="1" t="s">
        <v>575</v>
      </c>
      <c r="B420" t="s">
        <v>350</v>
      </c>
    </row>
    <row r="421" spans="1:2" x14ac:dyDescent="0.35">
      <c r="A421" s="1" t="s">
        <v>576</v>
      </c>
      <c r="B421" t="s">
        <v>350</v>
      </c>
    </row>
    <row r="422" spans="1:2" x14ac:dyDescent="0.35">
      <c r="A422" s="1" t="s">
        <v>577</v>
      </c>
      <c r="B422" t="s">
        <v>292</v>
      </c>
    </row>
    <row r="423" spans="1:2" x14ac:dyDescent="0.35">
      <c r="A423" s="1" t="s">
        <v>578</v>
      </c>
      <c r="B423" t="s">
        <v>350</v>
      </c>
    </row>
    <row r="424" spans="1:2" x14ac:dyDescent="0.35">
      <c r="A424" s="1" t="s">
        <v>579</v>
      </c>
      <c r="B424" t="s">
        <v>261</v>
      </c>
    </row>
    <row r="425" spans="1:2" x14ac:dyDescent="0.35">
      <c r="A425" s="1" t="s">
        <v>580</v>
      </c>
      <c r="B425" t="s">
        <v>347</v>
      </c>
    </row>
    <row r="426" spans="1:2" x14ac:dyDescent="0.35">
      <c r="A426" s="1" t="s">
        <v>581</v>
      </c>
      <c r="B426" t="s">
        <v>178</v>
      </c>
    </row>
    <row r="427" spans="1:2" x14ac:dyDescent="0.35">
      <c r="A427" s="1" t="s">
        <v>582</v>
      </c>
      <c r="B427" t="s">
        <v>176</v>
      </c>
    </row>
    <row r="428" spans="1:2" x14ac:dyDescent="0.35">
      <c r="A428" s="1" t="s">
        <v>583</v>
      </c>
      <c r="B428" t="s">
        <v>329</v>
      </c>
    </row>
    <row r="429" spans="1:2" x14ac:dyDescent="0.35">
      <c r="A429" s="1" t="s">
        <v>585</v>
      </c>
      <c r="B429" t="s">
        <v>347</v>
      </c>
    </row>
    <row r="430" spans="1:2" x14ac:dyDescent="0.35">
      <c r="A430" s="1" t="s">
        <v>586</v>
      </c>
      <c r="B430" t="s">
        <v>292</v>
      </c>
    </row>
    <row r="431" spans="1:2" x14ac:dyDescent="0.35">
      <c r="A431" s="1" t="s">
        <v>587</v>
      </c>
      <c r="B431" t="s">
        <v>312</v>
      </c>
    </row>
    <row r="432" spans="1:2" x14ac:dyDescent="0.35">
      <c r="A432" s="1" t="s">
        <v>588</v>
      </c>
      <c r="B432" t="s">
        <v>263</v>
      </c>
    </row>
    <row r="433" spans="1:2" x14ac:dyDescent="0.35">
      <c r="A433" s="1" t="s">
        <v>589</v>
      </c>
      <c r="B433" t="s">
        <v>298</v>
      </c>
    </row>
    <row r="434" spans="1:2" x14ac:dyDescent="0.35">
      <c r="A434" s="1" t="s">
        <v>590</v>
      </c>
      <c r="B434" t="s">
        <v>310</v>
      </c>
    </row>
    <row r="435" spans="1:2" x14ac:dyDescent="0.35">
      <c r="A435" s="1" t="s">
        <v>591</v>
      </c>
      <c r="B435" t="s">
        <v>608</v>
      </c>
    </row>
    <row r="436" spans="1:2" x14ac:dyDescent="0.35">
      <c r="A436" s="1" t="s">
        <v>592</v>
      </c>
      <c r="B436" t="s">
        <v>281</v>
      </c>
    </row>
    <row r="437" spans="1:2" x14ac:dyDescent="0.35">
      <c r="A437" s="1" t="s">
        <v>593</v>
      </c>
      <c r="B437" t="s">
        <v>310</v>
      </c>
    </row>
    <row r="438" spans="1:2" x14ac:dyDescent="0.35">
      <c r="A438" s="1" t="s">
        <v>594</v>
      </c>
      <c r="B438" t="s">
        <v>298</v>
      </c>
    </row>
    <row r="439" spans="1:2" x14ac:dyDescent="0.35">
      <c r="A439" s="1" t="s">
        <v>595</v>
      </c>
      <c r="B439" t="s">
        <v>486</v>
      </c>
    </row>
    <row r="440" spans="1:2" x14ac:dyDescent="0.35">
      <c r="A440" s="1" t="s">
        <v>596</v>
      </c>
      <c r="B440" t="s">
        <v>310</v>
      </c>
    </row>
    <row r="441" spans="1:2" x14ac:dyDescent="0.35">
      <c r="A441" s="1" t="s">
        <v>597</v>
      </c>
      <c r="B441" t="s">
        <v>313</v>
      </c>
    </row>
    <row r="442" spans="1:2" x14ac:dyDescent="0.35">
      <c r="A442" s="1" t="s">
        <v>598</v>
      </c>
      <c r="B442" t="s">
        <v>265</v>
      </c>
    </row>
    <row r="443" spans="1:2" x14ac:dyDescent="0.35">
      <c r="A443" s="1" t="s">
        <v>599</v>
      </c>
      <c r="B443" t="s">
        <v>271</v>
      </c>
    </row>
    <row r="444" spans="1:2" x14ac:dyDescent="0.35">
      <c r="A444" s="1" t="s">
        <v>600</v>
      </c>
      <c r="B444" t="s">
        <v>261</v>
      </c>
    </row>
    <row r="445" spans="1:2" x14ac:dyDescent="0.35">
      <c r="A445" s="1" t="s">
        <v>601</v>
      </c>
      <c r="B445" t="s">
        <v>271</v>
      </c>
    </row>
    <row r="446" spans="1:2" x14ac:dyDescent="0.35">
      <c r="A446" s="1" t="s">
        <v>602</v>
      </c>
      <c r="B446" t="s">
        <v>176</v>
      </c>
    </row>
    <row r="447" spans="1:2" x14ac:dyDescent="0.35">
      <c r="A447" s="1" t="s">
        <v>603</v>
      </c>
      <c r="B447" t="s">
        <v>168</v>
      </c>
    </row>
    <row r="448" spans="1:2" x14ac:dyDescent="0.35">
      <c r="A448" s="1" t="s">
        <v>604</v>
      </c>
      <c r="B448" t="s">
        <v>263</v>
      </c>
    </row>
    <row r="449" spans="1:3" x14ac:dyDescent="0.35">
      <c r="A449" s="1" t="s">
        <v>605</v>
      </c>
      <c r="B449" t="s">
        <v>271</v>
      </c>
    </row>
    <row r="450" spans="1:3" x14ac:dyDescent="0.35">
      <c r="A450" s="1" t="s">
        <v>606</v>
      </c>
      <c r="B450" t="s">
        <v>310</v>
      </c>
    </row>
    <row r="451" spans="1:3" x14ac:dyDescent="0.35">
      <c r="A451" s="1" t="s">
        <v>623</v>
      </c>
      <c r="B451" t="s">
        <v>624</v>
      </c>
    </row>
    <row r="452" spans="1:3" x14ac:dyDescent="0.35">
      <c r="A452" s="1" t="s">
        <v>625</v>
      </c>
      <c r="B452" t="s">
        <v>624</v>
      </c>
    </row>
    <row r="453" spans="1:3" x14ac:dyDescent="0.35">
      <c r="A453" s="1" t="s">
        <v>626</v>
      </c>
      <c r="B453" t="s">
        <v>265</v>
      </c>
    </row>
    <row r="454" spans="1:3" x14ac:dyDescent="0.35">
      <c r="A454" s="1" t="s">
        <v>627</v>
      </c>
      <c r="B454" t="s">
        <v>313</v>
      </c>
    </row>
    <row r="455" spans="1:3" x14ac:dyDescent="0.35">
      <c r="A455" s="1" t="s">
        <v>629</v>
      </c>
      <c r="B455" t="s">
        <v>630</v>
      </c>
    </row>
    <row r="456" spans="1:3" x14ac:dyDescent="0.35">
      <c r="A456" s="1" t="s">
        <v>631</v>
      </c>
      <c r="B456" t="s">
        <v>268</v>
      </c>
    </row>
    <row r="457" spans="1:3" x14ac:dyDescent="0.35">
      <c r="A457" s="1" t="s">
        <v>632</v>
      </c>
      <c r="B457" t="s">
        <v>292</v>
      </c>
    </row>
    <row r="458" spans="1:3" x14ac:dyDescent="0.35">
      <c r="A458" s="1" t="s">
        <v>633</v>
      </c>
      <c r="B458" t="s">
        <v>380</v>
      </c>
    </row>
    <row r="459" spans="1:3" x14ac:dyDescent="0.35">
      <c r="A459" s="1" t="s">
        <v>640</v>
      </c>
      <c r="B459" t="s">
        <v>647</v>
      </c>
    </row>
    <row r="460" spans="1:3" x14ac:dyDescent="0.35">
      <c r="A460" s="1" t="s">
        <v>643</v>
      </c>
      <c r="B460" t="s">
        <v>298</v>
      </c>
    </row>
    <row r="461" spans="1:3" x14ac:dyDescent="0.35">
      <c r="A461" s="1" t="s">
        <v>642</v>
      </c>
      <c r="B461" t="s">
        <v>648</v>
      </c>
    </row>
    <row r="462" spans="1:3" x14ac:dyDescent="0.35">
      <c r="A462" s="1" t="s">
        <v>669</v>
      </c>
      <c r="B462" t="s">
        <v>281</v>
      </c>
    </row>
    <row r="463" spans="1:3" x14ac:dyDescent="0.35">
      <c r="A463" s="1" t="s">
        <v>652</v>
      </c>
      <c r="B463" t="s">
        <v>380</v>
      </c>
    </row>
    <row r="464" spans="1:3" x14ac:dyDescent="0.35">
      <c r="A464" s="1" t="s">
        <v>653</v>
      </c>
      <c r="C464" t="s">
        <v>679</v>
      </c>
    </row>
    <row r="465" spans="1:3" x14ac:dyDescent="0.35">
      <c r="A465" s="1" t="s">
        <v>654</v>
      </c>
      <c r="B465" t="s">
        <v>168</v>
      </c>
    </row>
    <row r="466" spans="1:3" x14ac:dyDescent="0.35">
      <c r="A466" s="1" t="s">
        <v>655</v>
      </c>
      <c r="B466" t="s">
        <v>176</v>
      </c>
    </row>
    <row r="467" spans="1:3" x14ac:dyDescent="0.35">
      <c r="A467" s="1" t="s">
        <v>657</v>
      </c>
      <c r="B467" t="s">
        <v>176</v>
      </c>
    </row>
    <row r="468" spans="1:3" x14ac:dyDescent="0.35">
      <c r="A468" s="1" t="s">
        <v>652</v>
      </c>
      <c r="B468" t="s">
        <v>178</v>
      </c>
    </row>
    <row r="469" spans="1:3" x14ac:dyDescent="0.35">
      <c r="A469" s="1" t="s">
        <v>653</v>
      </c>
      <c r="C469" t="s">
        <v>679</v>
      </c>
    </row>
    <row r="470" spans="1:3" x14ac:dyDescent="0.35">
      <c r="A470" s="1" t="s">
        <v>658</v>
      </c>
      <c r="B470" t="s">
        <v>263</v>
      </c>
    </row>
    <row r="471" spans="1:3" x14ac:dyDescent="0.35">
      <c r="A471" s="1" t="s">
        <v>659</v>
      </c>
      <c r="B471" t="s">
        <v>486</v>
      </c>
    </row>
    <row r="472" spans="1:3" x14ac:dyDescent="0.35">
      <c r="A472" s="1" t="s">
        <v>660</v>
      </c>
      <c r="B472" t="s">
        <v>177</v>
      </c>
    </row>
    <row r="473" spans="1:3" x14ac:dyDescent="0.35">
      <c r="A473" s="1" t="s">
        <v>662</v>
      </c>
      <c r="B473" t="s">
        <v>282</v>
      </c>
    </row>
    <row r="474" spans="1:3" x14ac:dyDescent="0.35">
      <c r="A474" s="1" t="s">
        <v>663</v>
      </c>
      <c r="B474" t="s">
        <v>176</v>
      </c>
    </row>
    <row r="475" spans="1:3" x14ac:dyDescent="0.35">
      <c r="A475" s="1" t="s">
        <v>664</v>
      </c>
      <c r="B475" t="s">
        <v>680</v>
      </c>
    </row>
    <row r="476" spans="1:3" x14ac:dyDescent="0.35">
      <c r="A476" s="1" t="s">
        <v>665</v>
      </c>
      <c r="B476" t="s">
        <v>169</v>
      </c>
    </row>
    <row r="477" spans="1:3" x14ac:dyDescent="0.35">
      <c r="A477" s="1" t="s">
        <v>666</v>
      </c>
      <c r="B477" t="s">
        <v>347</v>
      </c>
    </row>
    <row r="478" spans="1:3" x14ac:dyDescent="0.35">
      <c r="A478" s="1" t="s">
        <v>667</v>
      </c>
      <c r="B478" t="s">
        <v>310</v>
      </c>
    </row>
    <row r="479" spans="1:3" x14ac:dyDescent="0.35">
      <c r="A479" s="1" t="s">
        <v>668</v>
      </c>
      <c r="B479" t="s">
        <v>263</v>
      </c>
    </row>
    <row r="480" spans="1:3" x14ac:dyDescent="0.35">
      <c r="A480" s="1" t="s">
        <v>671</v>
      </c>
      <c r="B480" t="s">
        <v>681</v>
      </c>
    </row>
    <row r="481" spans="1:2" x14ac:dyDescent="0.35">
      <c r="A481" s="1" t="s">
        <v>673</v>
      </c>
      <c r="B481" t="s">
        <v>399</v>
      </c>
    </row>
    <row r="482" spans="1:2" x14ac:dyDescent="0.35">
      <c r="A482" s="1" t="s">
        <v>674</v>
      </c>
      <c r="B482" t="s">
        <v>282</v>
      </c>
    </row>
    <row r="483" spans="1:2" x14ac:dyDescent="0.35">
      <c r="A483" s="1" t="s">
        <v>675</v>
      </c>
      <c r="B483" t="s">
        <v>469</v>
      </c>
    </row>
    <row r="484" spans="1:2" x14ac:dyDescent="0.35">
      <c r="A484" s="1" t="s">
        <v>676</v>
      </c>
      <c r="B484" t="s">
        <v>176</v>
      </c>
    </row>
    <row r="485" spans="1:2" x14ac:dyDescent="0.35">
      <c r="A485" s="1" t="s">
        <v>677</v>
      </c>
      <c r="B485" t="s">
        <v>347</v>
      </c>
    </row>
    <row r="486" spans="1:2" x14ac:dyDescent="0.35">
      <c r="A486" s="1" t="s">
        <v>678</v>
      </c>
      <c r="B486" t="s">
        <v>260</v>
      </c>
    </row>
    <row r="487" spans="1:2" x14ac:dyDescent="0.35">
      <c r="A487" s="1" t="s">
        <v>690</v>
      </c>
      <c r="B487" t="s">
        <v>271</v>
      </c>
    </row>
    <row r="488" spans="1:2" x14ac:dyDescent="0.35">
      <c r="A488" s="1" t="s">
        <v>691</v>
      </c>
      <c r="B488" t="s">
        <v>281</v>
      </c>
    </row>
    <row r="489" spans="1:2" x14ac:dyDescent="0.35">
      <c r="A489" s="1" t="s">
        <v>693</v>
      </c>
      <c r="B489" t="s">
        <v>176</v>
      </c>
    </row>
    <row r="490" spans="1:2" x14ac:dyDescent="0.35">
      <c r="A490" s="1" t="s">
        <v>694</v>
      </c>
      <c r="B490" t="s">
        <v>310</v>
      </c>
    </row>
    <row r="491" spans="1:2" x14ac:dyDescent="0.35">
      <c r="A491" s="1" t="s">
        <v>695</v>
      </c>
      <c r="B491" t="s">
        <v>265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0D6D7-C79A-4BD0-A5E0-E318B522689D}">
  <sheetPr codeName="Taul1"/>
  <dimension ref="A36:A102"/>
  <sheetViews>
    <sheetView workbookViewId="0">
      <selection activeCell="I6" sqref="I6"/>
    </sheetView>
  </sheetViews>
  <sheetFormatPr defaultRowHeight="14.5" x14ac:dyDescent="0.35"/>
  <cols>
    <col min="3" max="3" width="14.81640625" bestFit="1" customWidth="1"/>
  </cols>
  <sheetData>
    <row r="36" ht="15" customHeight="1" x14ac:dyDescent="0.35"/>
    <row r="102" ht="15" customHeight="1" x14ac:dyDescent="0.35"/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669A2-5E7F-4876-A658-2F43BFEEFD14}">
  <dimension ref="A2:K106"/>
  <sheetViews>
    <sheetView topLeftCell="A16" zoomScale="85" zoomScaleNormal="85" workbookViewId="0">
      <selection activeCell="J58" sqref="J58"/>
    </sheetView>
  </sheetViews>
  <sheetFormatPr defaultRowHeight="14.5" x14ac:dyDescent="0.35"/>
  <cols>
    <col min="1" max="1" width="16.1796875" bestFit="1" customWidth="1"/>
    <col min="2" max="2" width="21.453125" bestFit="1" customWidth="1"/>
    <col min="3" max="4" width="13.453125" bestFit="1" customWidth="1"/>
    <col min="5" max="5" width="13.453125" style="2" bestFit="1" customWidth="1"/>
    <col min="6" max="10" width="13.453125" bestFit="1" customWidth="1"/>
    <col min="11" max="11" width="15" bestFit="1" customWidth="1"/>
    <col min="12" max="36" width="20.1796875" bestFit="1" customWidth="1"/>
    <col min="37" max="37" width="15" bestFit="1" customWidth="1"/>
    <col min="38" max="41" width="20.81640625" bestFit="1" customWidth="1"/>
    <col min="42" max="42" width="15" bestFit="1" customWidth="1"/>
  </cols>
  <sheetData>
    <row r="2" spans="1:11" ht="129.75" customHeight="1" x14ac:dyDescent="0.35"/>
    <row r="3" spans="1:11" x14ac:dyDescent="0.35">
      <c r="A3" s="9" t="s">
        <v>487</v>
      </c>
      <c r="C3" s="9" t="s">
        <v>2</v>
      </c>
      <c r="E3"/>
    </row>
    <row r="4" spans="1:11" ht="77.25" customHeight="1" x14ac:dyDescent="0.35">
      <c r="A4" s="9" t="s">
        <v>3</v>
      </c>
      <c r="B4" s="9" t="s">
        <v>5</v>
      </c>
      <c r="C4" t="s">
        <v>622</v>
      </c>
      <c r="D4" t="s">
        <v>639</v>
      </c>
      <c r="E4" t="s">
        <v>651</v>
      </c>
      <c r="F4" t="s">
        <v>656</v>
      </c>
      <c r="G4" t="s">
        <v>670</v>
      </c>
      <c r="H4" t="s">
        <v>684</v>
      </c>
      <c r="I4" t="s">
        <v>689</v>
      </c>
      <c r="J4" t="s">
        <v>692</v>
      </c>
      <c r="K4" t="s">
        <v>488</v>
      </c>
    </row>
    <row r="5" spans="1:11" x14ac:dyDescent="0.35">
      <c r="A5" t="s">
        <v>683</v>
      </c>
      <c r="E5"/>
      <c r="K5" s="2"/>
    </row>
    <row r="6" spans="1:11" x14ac:dyDescent="0.35">
      <c r="B6" t="s">
        <v>626</v>
      </c>
      <c r="C6">
        <v>17</v>
      </c>
      <c r="D6">
        <v>15</v>
      </c>
      <c r="E6">
        <v>10</v>
      </c>
      <c r="F6">
        <v>20</v>
      </c>
      <c r="G6">
        <v>8</v>
      </c>
      <c r="I6">
        <v>20</v>
      </c>
      <c r="K6" s="2">
        <v>90</v>
      </c>
    </row>
    <row r="7" spans="1:11" x14ac:dyDescent="0.35">
      <c r="B7" t="s">
        <v>569</v>
      </c>
      <c r="C7">
        <v>20</v>
      </c>
      <c r="D7">
        <v>17</v>
      </c>
      <c r="E7"/>
      <c r="G7">
        <v>10</v>
      </c>
      <c r="H7">
        <v>20</v>
      </c>
      <c r="K7" s="2">
        <v>67</v>
      </c>
    </row>
    <row r="8" spans="1:11" x14ac:dyDescent="0.35">
      <c r="B8" t="s">
        <v>568</v>
      </c>
      <c r="E8"/>
      <c r="H8">
        <v>15</v>
      </c>
      <c r="I8">
        <v>17</v>
      </c>
      <c r="K8" s="2">
        <v>32</v>
      </c>
    </row>
    <row r="9" spans="1:11" x14ac:dyDescent="0.35">
      <c r="B9" t="s">
        <v>640</v>
      </c>
      <c r="D9">
        <v>20</v>
      </c>
      <c r="E9"/>
      <c r="J9">
        <v>10</v>
      </c>
      <c r="K9" s="2">
        <v>30</v>
      </c>
    </row>
    <row r="10" spans="1:11" x14ac:dyDescent="0.35">
      <c r="B10" t="s">
        <v>593</v>
      </c>
      <c r="E10"/>
      <c r="G10">
        <v>6</v>
      </c>
      <c r="H10">
        <v>17</v>
      </c>
      <c r="K10" s="2">
        <v>23</v>
      </c>
    </row>
    <row r="11" spans="1:11" x14ac:dyDescent="0.35">
      <c r="B11" t="s">
        <v>652</v>
      </c>
      <c r="E11">
        <v>6</v>
      </c>
      <c r="F11">
        <v>13</v>
      </c>
      <c r="K11" s="2">
        <v>19</v>
      </c>
    </row>
    <row r="12" spans="1:11" x14ac:dyDescent="0.35">
      <c r="B12" t="s">
        <v>444</v>
      </c>
      <c r="E12"/>
      <c r="F12">
        <v>17</v>
      </c>
      <c r="K12" s="2">
        <v>17</v>
      </c>
    </row>
    <row r="13" spans="1:11" x14ac:dyDescent="0.35">
      <c r="B13" t="s">
        <v>657</v>
      </c>
      <c r="E13"/>
      <c r="F13">
        <v>15</v>
      </c>
      <c r="K13" s="2">
        <v>15</v>
      </c>
    </row>
    <row r="14" spans="1:11" x14ac:dyDescent="0.35">
      <c r="B14" t="s">
        <v>658</v>
      </c>
      <c r="E14"/>
      <c r="I14">
        <v>15</v>
      </c>
      <c r="K14" s="2">
        <v>15</v>
      </c>
    </row>
    <row r="15" spans="1:11" x14ac:dyDescent="0.35">
      <c r="B15" t="s">
        <v>570</v>
      </c>
      <c r="C15">
        <v>15</v>
      </c>
      <c r="E15"/>
      <c r="K15" s="2">
        <v>15</v>
      </c>
    </row>
    <row r="16" spans="1:11" x14ac:dyDescent="0.35">
      <c r="B16" t="s">
        <v>48</v>
      </c>
      <c r="D16">
        <v>13</v>
      </c>
      <c r="E16"/>
      <c r="K16" s="2">
        <v>13</v>
      </c>
    </row>
    <row r="17" spans="1:11" x14ac:dyDescent="0.35">
      <c r="B17" t="s">
        <v>690</v>
      </c>
      <c r="E17"/>
      <c r="I17">
        <v>13</v>
      </c>
      <c r="K17" s="2">
        <v>13</v>
      </c>
    </row>
    <row r="18" spans="1:11" x14ac:dyDescent="0.35">
      <c r="B18" t="s">
        <v>627</v>
      </c>
      <c r="C18">
        <v>13</v>
      </c>
      <c r="E18"/>
      <c r="K18" s="2">
        <v>13</v>
      </c>
    </row>
    <row r="19" spans="1:11" x14ac:dyDescent="0.35">
      <c r="B19" t="s">
        <v>576</v>
      </c>
      <c r="D19">
        <v>11</v>
      </c>
      <c r="E19"/>
      <c r="K19" s="2">
        <v>11</v>
      </c>
    </row>
    <row r="20" spans="1:11" x14ac:dyDescent="0.35">
      <c r="B20" t="s">
        <v>566</v>
      </c>
      <c r="E20"/>
      <c r="J20">
        <v>8</v>
      </c>
      <c r="K20" s="2">
        <v>8</v>
      </c>
    </row>
    <row r="21" spans="1:11" x14ac:dyDescent="0.35">
      <c r="B21" t="s">
        <v>610</v>
      </c>
      <c r="E21">
        <v>8</v>
      </c>
      <c r="K21" s="2">
        <v>8</v>
      </c>
    </row>
    <row r="22" spans="1:11" x14ac:dyDescent="0.35">
      <c r="B22" t="s">
        <v>693</v>
      </c>
      <c r="E22"/>
      <c r="J22">
        <v>6</v>
      </c>
      <c r="K22" s="2">
        <v>6</v>
      </c>
    </row>
    <row r="23" spans="1:11" x14ac:dyDescent="0.35">
      <c r="B23" t="s">
        <v>577</v>
      </c>
      <c r="E23"/>
      <c r="G23">
        <v>5</v>
      </c>
      <c r="K23" s="2">
        <v>5</v>
      </c>
    </row>
    <row r="24" spans="1:11" x14ac:dyDescent="0.35">
      <c r="B24" t="s">
        <v>676</v>
      </c>
      <c r="E24"/>
      <c r="J24">
        <v>5</v>
      </c>
      <c r="K24" s="2">
        <v>5</v>
      </c>
    </row>
    <row r="25" spans="1:11" x14ac:dyDescent="0.35">
      <c r="B25" t="s">
        <v>694</v>
      </c>
      <c r="E25"/>
      <c r="J25">
        <v>4</v>
      </c>
      <c r="K25" s="2">
        <v>4</v>
      </c>
    </row>
    <row r="26" spans="1:11" x14ac:dyDescent="0.35">
      <c r="B26" t="s">
        <v>667</v>
      </c>
      <c r="E26"/>
      <c r="G26">
        <v>4</v>
      </c>
      <c r="K26" s="2">
        <v>4</v>
      </c>
    </row>
    <row r="27" spans="1:11" x14ac:dyDescent="0.35">
      <c r="B27" t="s">
        <v>668</v>
      </c>
      <c r="E27"/>
      <c r="G27">
        <v>3</v>
      </c>
      <c r="K27" s="2">
        <v>3</v>
      </c>
    </row>
    <row r="28" spans="1:11" x14ac:dyDescent="0.35">
      <c r="B28" t="s">
        <v>70</v>
      </c>
      <c r="E28"/>
      <c r="J28">
        <v>3</v>
      </c>
      <c r="K28" s="2">
        <v>3</v>
      </c>
    </row>
    <row r="29" spans="1:11" x14ac:dyDescent="0.35">
      <c r="A29" t="s">
        <v>682</v>
      </c>
      <c r="E29"/>
      <c r="K29" s="2"/>
    </row>
    <row r="30" spans="1:11" x14ac:dyDescent="0.35">
      <c r="B30" t="s">
        <v>590</v>
      </c>
      <c r="D30">
        <v>20</v>
      </c>
      <c r="E30"/>
      <c r="F30">
        <v>20</v>
      </c>
      <c r="H30">
        <v>20</v>
      </c>
      <c r="I30">
        <v>20</v>
      </c>
      <c r="K30" s="2">
        <v>80</v>
      </c>
    </row>
    <row r="31" spans="1:11" x14ac:dyDescent="0.35">
      <c r="B31" t="s">
        <v>563</v>
      </c>
      <c r="C31">
        <v>17</v>
      </c>
      <c r="D31">
        <v>17</v>
      </c>
      <c r="E31"/>
      <c r="H31">
        <v>17</v>
      </c>
      <c r="K31" s="2">
        <v>51</v>
      </c>
    </row>
    <row r="32" spans="1:11" x14ac:dyDescent="0.35">
      <c r="B32" t="s">
        <v>560</v>
      </c>
      <c r="E32">
        <v>10</v>
      </c>
      <c r="F32">
        <v>17</v>
      </c>
      <c r="G32">
        <v>4</v>
      </c>
      <c r="H32">
        <v>11</v>
      </c>
      <c r="J32">
        <v>8</v>
      </c>
      <c r="K32" s="2">
        <v>50</v>
      </c>
    </row>
    <row r="33" spans="1:11" x14ac:dyDescent="0.35">
      <c r="B33" t="s">
        <v>663</v>
      </c>
      <c r="E33"/>
      <c r="G33">
        <v>10</v>
      </c>
      <c r="H33">
        <v>13</v>
      </c>
      <c r="J33">
        <v>10</v>
      </c>
      <c r="K33" s="2">
        <v>33</v>
      </c>
    </row>
    <row r="34" spans="1:11" x14ac:dyDescent="0.35">
      <c r="B34" t="s">
        <v>625</v>
      </c>
      <c r="C34">
        <v>15</v>
      </c>
      <c r="E34"/>
      <c r="H34">
        <v>15</v>
      </c>
      <c r="K34" s="2">
        <v>30</v>
      </c>
    </row>
    <row r="35" spans="1:11" x14ac:dyDescent="0.35">
      <c r="B35" t="s">
        <v>623</v>
      </c>
      <c r="C35">
        <v>20</v>
      </c>
      <c r="E35"/>
      <c r="K35" s="2">
        <v>20</v>
      </c>
    </row>
    <row r="36" spans="1:11" x14ac:dyDescent="0.35">
      <c r="B36" t="s">
        <v>190</v>
      </c>
      <c r="C36">
        <v>13</v>
      </c>
      <c r="E36"/>
      <c r="J36">
        <v>6</v>
      </c>
      <c r="K36" s="2">
        <v>19</v>
      </c>
    </row>
    <row r="37" spans="1:11" x14ac:dyDescent="0.35">
      <c r="B37" t="s">
        <v>68</v>
      </c>
      <c r="D37">
        <v>15</v>
      </c>
      <c r="E37"/>
      <c r="K37" s="2">
        <v>15</v>
      </c>
    </row>
    <row r="38" spans="1:11" x14ac:dyDescent="0.35">
      <c r="B38" t="s">
        <v>564</v>
      </c>
      <c r="D38">
        <v>13</v>
      </c>
      <c r="E38"/>
      <c r="K38" s="2">
        <v>13</v>
      </c>
    </row>
    <row r="39" spans="1:11" x14ac:dyDescent="0.35">
      <c r="B39" t="s">
        <v>664</v>
      </c>
      <c r="E39"/>
      <c r="G39">
        <v>8</v>
      </c>
      <c r="K39" s="2">
        <v>8</v>
      </c>
    </row>
    <row r="40" spans="1:11" x14ac:dyDescent="0.35">
      <c r="B40" t="s">
        <v>665</v>
      </c>
      <c r="E40"/>
      <c r="G40">
        <v>6</v>
      </c>
      <c r="K40" s="2">
        <v>6</v>
      </c>
    </row>
    <row r="41" spans="1:11" x14ac:dyDescent="0.35">
      <c r="B41" t="s">
        <v>666</v>
      </c>
      <c r="E41"/>
      <c r="G41">
        <v>5</v>
      </c>
      <c r="K41" s="2">
        <v>5</v>
      </c>
    </row>
    <row r="42" spans="1:11" x14ac:dyDescent="0.35">
      <c r="A42" t="s">
        <v>645</v>
      </c>
      <c r="E42"/>
      <c r="K42" s="2"/>
    </row>
    <row r="43" spans="1:11" x14ac:dyDescent="0.35">
      <c r="B43" t="s">
        <v>70</v>
      </c>
      <c r="C43">
        <v>20</v>
      </c>
      <c r="D43">
        <v>17</v>
      </c>
      <c r="E43">
        <v>8</v>
      </c>
      <c r="F43">
        <v>20</v>
      </c>
      <c r="G43">
        <v>6</v>
      </c>
      <c r="H43">
        <v>13</v>
      </c>
      <c r="K43" s="2">
        <v>84</v>
      </c>
    </row>
    <row r="44" spans="1:11" x14ac:dyDescent="0.35">
      <c r="B44" t="s">
        <v>71</v>
      </c>
      <c r="C44">
        <v>17</v>
      </c>
      <c r="D44">
        <v>13</v>
      </c>
      <c r="E44">
        <v>10</v>
      </c>
      <c r="F44">
        <v>17</v>
      </c>
      <c r="G44">
        <v>5</v>
      </c>
      <c r="H44">
        <v>15</v>
      </c>
      <c r="K44" s="2">
        <v>77</v>
      </c>
    </row>
    <row r="45" spans="1:11" x14ac:dyDescent="0.35">
      <c r="B45" t="s">
        <v>439</v>
      </c>
      <c r="D45">
        <v>20</v>
      </c>
      <c r="E45"/>
      <c r="G45">
        <v>8</v>
      </c>
      <c r="H45">
        <v>20</v>
      </c>
      <c r="K45" s="2">
        <v>48</v>
      </c>
    </row>
    <row r="46" spans="1:11" x14ac:dyDescent="0.35">
      <c r="B46" t="s">
        <v>75</v>
      </c>
      <c r="C46">
        <v>13</v>
      </c>
      <c r="E46">
        <v>6</v>
      </c>
      <c r="F46">
        <v>15</v>
      </c>
      <c r="G46">
        <v>2</v>
      </c>
      <c r="H46">
        <v>9</v>
      </c>
      <c r="K46" s="2">
        <v>45</v>
      </c>
    </row>
    <row r="47" spans="1:11" x14ac:dyDescent="0.35">
      <c r="B47" t="s">
        <v>318</v>
      </c>
      <c r="C47">
        <v>11</v>
      </c>
      <c r="E47"/>
      <c r="I47">
        <v>20</v>
      </c>
      <c r="J47">
        <v>10</v>
      </c>
      <c r="K47" s="2">
        <v>41</v>
      </c>
    </row>
    <row r="48" spans="1:11" x14ac:dyDescent="0.35">
      <c r="B48" t="s">
        <v>669</v>
      </c>
      <c r="D48">
        <v>11</v>
      </c>
      <c r="E48"/>
      <c r="H48">
        <v>8</v>
      </c>
      <c r="I48">
        <v>17</v>
      </c>
      <c r="K48" s="2">
        <v>36</v>
      </c>
    </row>
    <row r="49" spans="1:11" x14ac:dyDescent="0.35">
      <c r="B49" t="s">
        <v>206</v>
      </c>
      <c r="C49">
        <v>10</v>
      </c>
      <c r="D49">
        <v>10</v>
      </c>
      <c r="E49"/>
      <c r="H49">
        <v>7</v>
      </c>
      <c r="J49">
        <v>8</v>
      </c>
      <c r="K49" s="2">
        <v>35</v>
      </c>
    </row>
    <row r="50" spans="1:11" x14ac:dyDescent="0.35">
      <c r="B50" t="s">
        <v>79</v>
      </c>
      <c r="C50">
        <v>15</v>
      </c>
      <c r="E50"/>
      <c r="G50">
        <v>3</v>
      </c>
      <c r="H50">
        <v>10</v>
      </c>
      <c r="K50" s="2">
        <v>28</v>
      </c>
    </row>
    <row r="51" spans="1:11" x14ac:dyDescent="0.35">
      <c r="B51" t="s">
        <v>444</v>
      </c>
      <c r="E51"/>
      <c r="G51">
        <v>10</v>
      </c>
      <c r="H51">
        <v>17</v>
      </c>
      <c r="K51" s="2">
        <v>27</v>
      </c>
    </row>
    <row r="52" spans="1:11" x14ac:dyDescent="0.35">
      <c r="B52" t="s">
        <v>642</v>
      </c>
      <c r="D52">
        <v>15</v>
      </c>
      <c r="E52"/>
      <c r="K52" s="2">
        <v>15</v>
      </c>
    </row>
    <row r="53" spans="1:11" x14ac:dyDescent="0.35">
      <c r="B53" t="s">
        <v>69</v>
      </c>
      <c r="E53"/>
      <c r="G53">
        <v>4</v>
      </c>
      <c r="H53">
        <v>11</v>
      </c>
      <c r="K53" s="2">
        <v>15</v>
      </c>
    </row>
    <row r="54" spans="1:11" x14ac:dyDescent="0.35">
      <c r="B54" t="s">
        <v>629</v>
      </c>
      <c r="C54">
        <v>9</v>
      </c>
      <c r="E54"/>
      <c r="K54" s="2">
        <v>9</v>
      </c>
    </row>
    <row r="55" spans="1:11" x14ac:dyDescent="0.35">
      <c r="B55" t="s">
        <v>451</v>
      </c>
      <c r="E55"/>
      <c r="G55">
        <v>1</v>
      </c>
      <c r="K55" s="2">
        <v>1</v>
      </c>
    </row>
    <row r="56" spans="1:11" x14ac:dyDescent="0.35">
      <c r="A56" t="s">
        <v>646</v>
      </c>
      <c r="E56"/>
      <c r="K56" s="2"/>
    </row>
    <row r="57" spans="1:11" x14ac:dyDescent="0.35">
      <c r="B57" t="s">
        <v>209</v>
      </c>
      <c r="D57">
        <v>20</v>
      </c>
      <c r="E57">
        <v>6</v>
      </c>
      <c r="F57">
        <v>15</v>
      </c>
      <c r="G57">
        <v>8</v>
      </c>
      <c r="H57">
        <v>17</v>
      </c>
      <c r="K57" s="2">
        <v>66</v>
      </c>
    </row>
    <row r="58" spans="1:11" x14ac:dyDescent="0.35">
      <c r="B58" t="s">
        <v>68</v>
      </c>
      <c r="E58">
        <v>10</v>
      </c>
      <c r="F58">
        <v>20</v>
      </c>
      <c r="G58">
        <v>10</v>
      </c>
      <c r="H58">
        <v>20</v>
      </c>
      <c r="K58" s="2">
        <v>60</v>
      </c>
    </row>
    <row r="59" spans="1:11" x14ac:dyDescent="0.35">
      <c r="B59" t="s">
        <v>340</v>
      </c>
      <c r="E59">
        <v>4</v>
      </c>
      <c r="F59">
        <v>11</v>
      </c>
      <c r="G59">
        <v>5</v>
      </c>
      <c r="H59">
        <v>13</v>
      </c>
      <c r="J59">
        <v>10</v>
      </c>
      <c r="K59" s="2">
        <v>43</v>
      </c>
    </row>
    <row r="60" spans="1:11" x14ac:dyDescent="0.35">
      <c r="B60" t="s">
        <v>189</v>
      </c>
      <c r="E60">
        <v>8</v>
      </c>
      <c r="F60">
        <v>17</v>
      </c>
      <c r="K60" s="2">
        <v>25</v>
      </c>
    </row>
    <row r="61" spans="1:11" x14ac:dyDescent="0.35">
      <c r="B61" t="s">
        <v>190</v>
      </c>
      <c r="E61">
        <v>5</v>
      </c>
      <c r="F61">
        <v>13</v>
      </c>
      <c r="K61" s="2">
        <v>18</v>
      </c>
    </row>
    <row r="62" spans="1:11" x14ac:dyDescent="0.35">
      <c r="B62" t="s">
        <v>695</v>
      </c>
      <c r="E62"/>
      <c r="H62">
        <v>15</v>
      </c>
      <c r="K62" s="2">
        <v>15</v>
      </c>
    </row>
    <row r="63" spans="1:11" x14ac:dyDescent="0.35">
      <c r="B63" t="s">
        <v>197</v>
      </c>
      <c r="E63"/>
      <c r="G63">
        <v>6</v>
      </c>
      <c r="K63" s="2">
        <v>6</v>
      </c>
    </row>
    <row r="64" spans="1:11" x14ac:dyDescent="0.35">
      <c r="A64" t="s">
        <v>573</v>
      </c>
      <c r="E64"/>
      <c r="K64" s="2"/>
    </row>
    <row r="65" spans="2:11" x14ac:dyDescent="0.35">
      <c r="B65" t="s">
        <v>575</v>
      </c>
      <c r="E65">
        <v>10</v>
      </c>
      <c r="F65">
        <v>20</v>
      </c>
      <c r="G65">
        <v>6</v>
      </c>
      <c r="H65">
        <v>17</v>
      </c>
      <c r="I65">
        <v>20</v>
      </c>
      <c r="K65" s="2">
        <v>73</v>
      </c>
    </row>
    <row r="66" spans="2:11" x14ac:dyDescent="0.35">
      <c r="B66" t="s">
        <v>631</v>
      </c>
      <c r="C66">
        <v>17</v>
      </c>
      <c r="D66">
        <v>17</v>
      </c>
      <c r="E66">
        <v>6</v>
      </c>
      <c r="F66">
        <v>13</v>
      </c>
      <c r="G66">
        <v>3</v>
      </c>
      <c r="H66">
        <v>9</v>
      </c>
      <c r="K66" s="2">
        <v>65</v>
      </c>
    </row>
    <row r="67" spans="2:11" x14ac:dyDescent="0.35">
      <c r="B67" t="s">
        <v>659</v>
      </c>
      <c r="E67"/>
      <c r="F67">
        <v>15</v>
      </c>
      <c r="H67">
        <v>10</v>
      </c>
      <c r="J67">
        <v>10</v>
      </c>
      <c r="K67" s="2">
        <v>35</v>
      </c>
    </row>
    <row r="68" spans="2:11" x14ac:dyDescent="0.35">
      <c r="B68" t="s">
        <v>675</v>
      </c>
      <c r="E68"/>
      <c r="G68">
        <v>5</v>
      </c>
      <c r="H68">
        <v>20</v>
      </c>
      <c r="K68" s="2">
        <v>25</v>
      </c>
    </row>
    <row r="69" spans="2:11" x14ac:dyDescent="0.35">
      <c r="B69" t="s">
        <v>676</v>
      </c>
      <c r="E69"/>
      <c r="G69">
        <v>10</v>
      </c>
      <c r="H69">
        <v>13</v>
      </c>
      <c r="K69" s="2">
        <v>23</v>
      </c>
    </row>
    <row r="70" spans="2:11" x14ac:dyDescent="0.35">
      <c r="B70" t="s">
        <v>574</v>
      </c>
      <c r="E70"/>
      <c r="G70">
        <v>8</v>
      </c>
      <c r="H70">
        <v>15</v>
      </c>
      <c r="K70" s="2">
        <v>23</v>
      </c>
    </row>
    <row r="71" spans="2:11" x14ac:dyDescent="0.35">
      <c r="B71" t="s">
        <v>605</v>
      </c>
      <c r="C71">
        <v>20</v>
      </c>
      <c r="E71"/>
      <c r="K71" s="2">
        <v>20</v>
      </c>
    </row>
    <row r="72" spans="2:11" x14ac:dyDescent="0.35">
      <c r="B72" t="s">
        <v>641</v>
      </c>
      <c r="D72">
        <v>20</v>
      </c>
      <c r="E72"/>
      <c r="K72" s="2">
        <v>20</v>
      </c>
    </row>
    <row r="73" spans="2:11" x14ac:dyDescent="0.35">
      <c r="B73" t="s">
        <v>658</v>
      </c>
      <c r="E73"/>
      <c r="F73">
        <v>17</v>
      </c>
      <c r="K73" s="2">
        <v>17</v>
      </c>
    </row>
    <row r="74" spans="2:11" x14ac:dyDescent="0.35">
      <c r="B74" t="s">
        <v>691</v>
      </c>
      <c r="E74"/>
      <c r="I74">
        <v>17</v>
      </c>
      <c r="K74" s="2">
        <v>17</v>
      </c>
    </row>
    <row r="75" spans="2:11" x14ac:dyDescent="0.35">
      <c r="B75" t="s">
        <v>582</v>
      </c>
      <c r="E75">
        <v>5</v>
      </c>
      <c r="J75">
        <v>8</v>
      </c>
      <c r="K75" s="2">
        <v>13</v>
      </c>
    </row>
    <row r="76" spans="2:11" x14ac:dyDescent="0.35">
      <c r="B76" t="s">
        <v>579</v>
      </c>
      <c r="E76"/>
      <c r="H76">
        <v>11</v>
      </c>
      <c r="K76" s="2">
        <v>11</v>
      </c>
    </row>
    <row r="77" spans="2:11" x14ac:dyDescent="0.35">
      <c r="B77" t="s">
        <v>581</v>
      </c>
      <c r="E77">
        <v>8</v>
      </c>
      <c r="G77">
        <v>2</v>
      </c>
      <c r="K77" s="2">
        <v>10</v>
      </c>
    </row>
    <row r="78" spans="2:11" x14ac:dyDescent="0.35">
      <c r="B78" t="s">
        <v>677</v>
      </c>
      <c r="E78"/>
      <c r="G78">
        <v>1</v>
      </c>
      <c r="H78">
        <v>8</v>
      </c>
      <c r="K78" s="2">
        <v>9</v>
      </c>
    </row>
    <row r="79" spans="2:11" x14ac:dyDescent="0.35">
      <c r="B79" t="s">
        <v>654</v>
      </c>
      <c r="E79">
        <v>4</v>
      </c>
      <c r="K79" s="2">
        <v>4</v>
      </c>
    </row>
    <row r="80" spans="2:11" x14ac:dyDescent="0.35">
      <c r="B80" t="s">
        <v>576</v>
      </c>
      <c r="E80"/>
      <c r="G80">
        <v>4</v>
      </c>
      <c r="K80" s="2">
        <v>4</v>
      </c>
    </row>
    <row r="81" spans="1:11" x14ac:dyDescent="0.35">
      <c r="B81" t="s">
        <v>655</v>
      </c>
      <c r="E81">
        <v>3</v>
      </c>
      <c r="K81" s="2">
        <v>3</v>
      </c>
    </row>
    <row r="82" spans="1:11" x14ac:dyDescent="0.35">
      <c r="A82" t="s">
        <v>553</v>
      </c>
      <c r="E82"/>
      <c r="K82" s="2"/>
    </row>
    <row r="83" spans="1:11" x14ac:dyDescent="0.35">
      <c r="B83" t="s">
        <v>555</v>
      </c>
      <c r="C83">
        <v>20</v>
      </c>
      <c r="E83"/>
      <c r="G83">
        <v>8</v>
      </c>
      <c r="H83">
        <v>20</v>
      </c>
      <c r="K83" s="2">
        <v>48</v>
      </c>
    </row>
    <row r="84" spans="1:11" x14ac:dyDescent="0.35">
      <c r="B84" t="s">
        <v>556</v>
      </c>
      <c r="D84">
        <v>20</v>
      </c>
      <c r="E84"/>
      <c r="G84">
        <v>10</v>
      </c>
      <c r="H84">
        <v>17</v>
      </c>
      <c r="K84" s="2">
        <v>47</v>
      </c>
    </row>
    <row r="85" spans="1:11" x14ac:dyDescent="0.35">
      <c r="B85" t="s">
        <v>558</v>
      </c>
      <c r="D85">
        <v>17</v>
      </c>
      <c r="E85">
        <v>5</v>
      </c>
      <c r="F85">
        <v>13</v>
      </c>
      <c r="G85">
        <v>6</v>
      </c>
      <c r="K85" s="2">
        <v>41</v>
      </c>
    </row>
    <row r="86" spans="1:11" x14ac:dyDescent="0.35">
      <c r="B86" t="s">
        <v>557</v>
      </c>
      <c r="E86">
        <v>6</v>
      </c>
      <c r="F86">
        <v>15</v>
      </c>
      <c r="I86">
        <v>20</v>
      </c>
      <c r="K86" s="2">
        <v>41</v>
      </c>
    </row>
    <row r="87" spans="1:11" x14ac:dyDescent="0.35">
      <c r="B87" t="s">
        <v>554</v>
      </c>
      <c r="E87">
        <v>8</v>
      </c>
      <c r="F87">
        <v>17</v>
      </c>
      <c r="J87">
        <v>10</v>
      </c>
      <c r="K87" s="2">
        <v>35</v>
      </c>
    </row>
    <row r="88" spans="1:11" x14ac:dyDescent="0.35">
      <c r="B88" t="s">
        <v>653</v>
      </c>
      <c r="E88">
        <v>10</v>
      </c>
      <c r="F88">
        <v>20</v>
      </c>
      <c r="K88" s="2">
        <v>30</v>
      </c>
    </row>
    <row r="89" spans="1:11" x14ac:dyDescent="0.35">
      <c r="B89" t="s">
        <v>674</v>
      </c>
      <c r="E89"/>
      <c r="H89">
        <v>15</v>
      </c>
      <c r="K89" s="2">
        <v>15</v>
      </c>
    </row>
    <row r="90" spans="1:11" x14ac:dyDescent="0.35">
      <c r="B90" t="s">
        <v>660</v>
      </c>
      <c r="E90"/>
      <c r="G90">
        <v>5</v>
      </c>
      <c r="K90" s="2">
        <v>5</v>
      </c>
    </row>
    <row r="91" spans="1:11" x14ac:dyDescent="0.35">
      <c r="A91" t="s">
        <v>584</v>
      </c>
      <c r="E91"/>
      <c r="K91" s="2"/>
    </row>
    <row r="92" spans="1:11" x14ac:dyDescent="0.35">
      <c r="B92" t="s">
        <v>586</v>
      </c>
      <c r="C92">
        <v>17</v>
      </c>
      <c r="D92">
        <v>20</v>
      </c>
      <c r="E92">
        <v>10</v>
      </c>
      <c r="F92">
        <v>17</v>
      </c>
      <c r="G92">
        <v>6</v>
      </c>
      <c r="H92">
        <v>17</v>
      </c>
      <c r="I92">
        <v>20</v>
      </c>
      <c r="K92" s="2">
        <v>107</v>
      </c>
    </row>
    <row r="93" spans="1:11" x14ac:dyDescent="0.35">
      <c r="B93" t="s">
        <v>585</v>
      </c>
      <c r="E93"/>
      <c r="F93">
        <v>20</v>
      </c>
      <c r="G93">
        <v>10</v>
      </c>
      <c r="H93">
        <v>15</v>
      </c>
      <c r="K93" s="2">
        <v>45</v>
      </c>
    </row>
    <row r="94" spans="1:11" x14ac:dyDescent="0.35">
      <c r="B94" t="s">
        <v>599</v>
      </c>
      <c r="C94">
        <v>13</v>
      </c>
      <c r="E94"/>
      <c r="H94">
        <v>13</v>
      </c>
      <c r="I94">
        <v>17</v>
      </c>
      <c r="K94" s="2">
        <v>43</v>
      </c>
    </row>
    <row r="95" spans="1:11" x14ac:dyDescent="0.35">
      <c r="B95" t="s">
        <v>633</v>
      </c>
      <c r="C95">
        <v>15</v>
      </c>
      <c r="E95"/>
      <c r="H95">
        <v>11</v>
      </c>
      <c r="I95">
        <v>15</v>
      </c>
      <c r="K95" s="2">
        <v>41</v>
      </c>
    </row>
    <row r="96" spans="1:11" x14ac:dyDescent="0.35">
      <c r="B96" t="s">
        <v>632</v>
      </c>
      <c r="C96">
        <v>20</v>
      </c>
      <c r="E96"/>
      <c r="K96" s="2">
        <v>20</v>
      </c>
    </row>
    <row r="97" spans="1:11" x14ac:dyDescent="0.35">
      <c r="B97" t="s">
        <v>601</v>
      </c>
      <c r="E97"/>
      <c r="H97">
        <v>20</v>
      </c>
      <c r="K97" s="2">
        <v>20</v>
      </c>
    </row>
    <row r="98" spans="1:11" x14ac:dyDescent="0.35">
      <c r="B98" t="s">
        <v>678</v>
      </c>
      <c r="E98"/>
      <c r="G98">
        <v>4</v>
      </c>
      <c r="H98">
        <v>10</v>
      </c>
      <c r="K98" s="2">
        <v>14</v>
      </c>
    </row>
    <row r="99" spans="1:11" x14ac:dyDescent="0.35">
      <c r="B99" t="s">
        <v>597</v>
      </c>
      <c r="E99"/>
      <c r="G99">
        <v>8</v>
      </c>
      <c r="K99" s="2">
        <v>8</v>
      </c>
    </row>
    <row r="100" spans="1:11" x14ac:dyDescent="0.35">
      <c r="B100" t="s">
        <v>587</v>
      </c>
      <c r="E100"/>
      <c r="G100">
        <v>5</v>
      </c>
      <c r="K100" s="2">
        <v>5</v>
      </c>
    </row>
    <row r="101" spans="1:11" x14ac:dyDescent="0.35">
      <c r="A101" t="s">
        <v>661</v>
      </c>
      <c r="E101"/>
      <c r="K101" s="2"/>
    </row>
    <row r="102" spans="1:11" x14ac:dyDescent="0.35">
      <c r="B102" t="s">
        <v>671</v>
      </c>
      <c r="E102"/>
      <c r="H102">
        <v>20</v>
      </c>
      <c r="K102" s="2">
        <v>20</v>
      </c>
    </row>
    <row r="103" spans="1:11" x14ac:dyDescent="0.35">
      <c r="B103" t="s">
        <v>662</v>
      </c>
      <c r="E103"/>
      <c r="G103">
        <v>10</v>
      </c>
      <c r="K103" s="2">
        <v>10</v>
      </c>
    </row>
    <row r="104" spans="1:11" x14ac:dyDescent="0.35">
      <c r="A104" t="s">
        <v>672</v>
      </c>
      <c r="E104"/>
      <c r="K104" s="2"/>
    </row>
    <row r="105" spans="1:11" x14ac:dyDescent="0.35">
      <c r="B105" t="s">
        <v>673</v>
      </c>
      <c r="E105"/>
      <c r="H105">
        <v>20</v>
      </c>
      <c r="K105" s="2">
        <v>20</v>
      </c>
    </row>
    <row r="106" spans="1:11" x14ac:dyDescent="0.35">
      <c r="A106" t="s">
        <v>488</v>
      </c>
      <c r="C106">
        <v>347</v>
      </c>
      <c r="D106">
        <v>341</v>
      </c>
      <c r="E106">
        <v>166</v>
      </c>
      <c r="F106">
        <v>397</v>
      </c>
      <c r="G106">
        <v>248</v>
      </c>
      <c r="H106">
        <v>584</v>
      </c>
      <c r="I106">
        <v>231</v>
      </c>
      <c r="J106">
        <v>116</v>
      </c>
      <c r="K106" s="2">
        <v>2430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715D4-C91B-4DF2-B9B5-AAD7561559BF}">
  <sheetPr>
    <pageSetUpPr fitToPage="1"/>
  </sheetPr>
  <dimension ref="A1:AR353"/>
  <sheetViews>
    <sheetView topLeftCell="A44" workbookViewId="0">
      <selection activeCell="N91" sqref="N91"/>
    </sheetView>
  </sheetViews>
  <sheetFormatPr defaultRowHeight="14.5" x14ac:dyDescent="0.35"/>
  <cols>
    <col min="1" max="1" width="6.7265625" style="7" customWidth="1"/>
    <col min="2" max="2" width="19.453125" bestFit="1" customWidth="1"/>
    <col min="3" max="3" width="18.54296875" style="20" bestFit="1" customWidth="1"/>
    <col min="4" max="4" width="5.7265625" customWidth="1"/>
    <col min="5" max="6" width="5.7265625" style="2" customWidth="1"/>
    <col min="7" max="7" width="5.453125" style="2" customWidth="1"/>
    <col min="8" max="8" width="5.453125" customWidth="1"/>
    <col min="9" max="9" width="5.7265625" customWidth="1"/>
    <col min="10" max="11" width="5.7265625" style="2" customWidth="1"/>
    <col min="12" max="18" width="5.7265625" customWidth="1"/>
    <col min="19" max="19" width="6.26953125" style="2" customWidth="1"/>
    <col min="20" max="21" width="5.26953125" customWidth="1"/>
    <col min="22" max="22" width="7.7265625" customWidth="1"/>
    <col min="25" max="25" width="19.1796875" bestFit="1" customWidth="1"/>
  </cols>
  <sheetData>
    <row r="1" spans="1:44" ht="18.5" x14ac:dyDescent="0.45">
      <c r="A1" s="41" t="s">
        <v>619</v>
      </c>
      <c r="B1" s="41"/>
      <c r="C1" s="41"/>
      <c r="D1" s="41"/>
      <c r="E1" s="41"/>
      <c r="F1" s="41"/>
      <c r="G1" s="6"/>
      <c r="S1" s="28"/>
      <c r="T1" s="28"/>
      <c r="U1" s="28"/>
      <c r="V1" s="28"/>
      <c r="W1" s="28"/>
      <c r="X1" s="28"/>
    </row>
    <row r="2" spans="1:44" x14ac:dyDescent="0.35">
      <c r="A2" s="43" t="s">
        <v>620</v>
      </c>
      <c r="B2" s="43"/>
      <c r="C2" s="43"/>
      <c r="D2" s="43"/>
      <c r="E2" s="43"/>
      <c r="F2" s="43"/>
      <c r="G2" s="23"/>
      <c r="S2"/>
    </row>
    <row r="3" spans="1:44" x14ac:dyDescent="0.35">
      <c r="A3" s="43" t="s">
        <v>644</v>
      </c>
      <c r="B3" s="43"/>
      <c r="C3" s="43"/>
      <c r="D3" s="43"/>
      <c r="E3" s="43"/>
      <c r="F3" s="43"/>
      <c r="G3" s="23"/>
      <c r="S3"/>
    </row>
    <row r="4" spans="1:44" x14ac:dyDescent="0.35">
      <c r="A4" s="42" t="s">
        <v>621</v>
      </c>
      <c r="B4" s="42"/>
      <c r="C4" s="42"/>
      <c r="D4" s="42"/>
      <c r="E4" s="42"/>
      <c r="F4" s="42"/>
      <c r="G4" s="22"/>
      <c r="S4" s="29"/>
      <c r="T4" s="29"/>
      <c r="U4" s="29"/>
      <c r="V4" s="29"/>
      <c r="W4" s="29"/>
      <c r="X4" s="29"/>
    </row>
    <row r="5" spans="1:44" x14ac:dyDescent="0.35">
      <c r="A5" s="8"/>
      <c r="B5" s="8"/>
      <c r="C5" s="24"/>
      <c r="D5" s="8"/>
      <c r="E5" s="22"/>
      <c r="F5" s="22"/>
      <c r="G5" s="22"/>
    </row>
    <row r="6" spans="1:44" s="3" customFormat="1" x14ac:dyDescent="0.35">
      <c r="A6" s="30"/>
      <c r="B6" s="3" t="s">
        <v>489</v>
      </c>
      <c r="C6" s="25"/>
      <c r="H6"/>
      <c r="I6"/>
      <c r="J6" s="2"/>
      <c r="K6" s="2"/>
      <c r="L6"/>
      <c r="M6"/>
      <c r="N6"/>
      <c r="O6"/>
      <c r="P6"/>
      <c r="Q6"/>
      <c r="R6"/>
      <c r="S6" s="2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1:44" s="3" customFormat="1" x14ac:dyDescent="0.35">
      <c r="A7" s="7">
        <v>1</v>
      </c>
      <c r="B7" s="40" t="s">
        <v>622</v>
      </c>
      <c r="C7" s="25"/>
      <c r="H7"/>
      <c r="I7"/>
      <c r="J7" s="2"/>
      <c r="K7" s="2"/>
      <c r="L7"/>
      <c r="M7"/>
      <c r="N7"/>
      <c r="O7"/>
      <c r="P7"/>
      <c r="Q7"/>
      <c r="R7"/>
      <c r="S7" s="2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1:44" x14ac:dyDescent="0.35">
      <c r="A8" s="7">
        <v>2</v>
      </c>
      <c r="B8" s="40" t="s">
        <v>634</v>
      </c>
      <c r="C8" s="26"/>
    </row>
    <row r="9" spans="1:44" x14ac:dyDescent="0.35">
      <c r="A9" s="7">
        <v>3</v>
      </c>
      <c r="B9" s="40" t="s">
        <v>635</v>
      </c>
      <c r="C9" s="26"/>
    </row>
    <row r="10" spans="1:44" x14ac:dyDescent="0.35">
      <c r="A10" s="7">
        <v>4</v>
      </c>
      <c r="B10" s="40" t="s">
        <v>636</v>
      </c>
      <c r="C10" s="26"/>
    </row>
    <row r="11" spans="1:44" x14ac:dyDescent="0.35">
      <c r="A11" s="7">
        <v>5</v>
      </c>
      <c r="B11" s="40" t="s">
        <v>491</v>
      </c>
      <c r="C11" s="26"/>
    </row>
    <row r="12" spans="1:44" x14ac:dyDescent="0.35">
      <c r="A12" s="7">
        <v>6</v>
      </c>
      <c r="B12" s="40" t="s">
        <v>492</v>
      </c>
      <c r="C12" s="26"/>
      <c r="J12" s="2" t="s">
        <v>490</v>
      </c>
    </row>
    <row r="13" spans="1:44" x14ac:dyDescent="0.35">
      <c r="A13" s="7">
        <v>7</v>
      </c>
      <c r="B13" t="s">
        <v>637</v>
      </c>
      <c r="C13" s="26"/>
    </row>
    <row r="14" spans="1:44" x14ac:dyDescent="0.35">
      <c r="A14" s="7">
        <v>8</v>
      </c>
      <c r="B14" s="39" t="s">
        <v>638</v>
      </c>
      <c r="C14" s="26"/>
    </row>
    <row r="15" spans="1:44" s="2" customFormat="1" x14ac:dyDescent="0.35">
      <c r="A15" s="23"/>
      <c r="B15"/>
      <c r="C15" s="27"/>
      <c r="D15"/>
      <c r="H15"/>
      <c r="I15"/>
      <c r="L15"/>
      <c r="M15"/>
      <c r="N15"/>
      <c r="U15" s="4"/>
      <c r="V15" s="4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1:44" x14ac:dyDescent="0.35">
      <c r="A16"/>
      <c r="E16"/>
      <c r="F16"/>
      <c r="G16"/>
      <c r="O16" s="2"/>
      <c r="P16" s="2"/>
      <c r="Q16" s="2"/>
      <c r="R16" s="2"/>
      <c r="T16" s="2"/>
      <c r="U16" s="2"/>
    </row>
    <row r="17" spans="1:19" ht="15" customHeight="1" x14ac:dyDescent="0.35">
      <c r="A17" s="10" t="s">
        <v>3</v>
      </c>
      <c r="B17" s="10" t="s">
        <v>5</v>
      </c>
      <c r="C17" s="10"/>
      <c r="D17" s="10">
        <v>1</v>
      </c>
      <c r="E17" s="10">
        <v>2</v>
      </c>
      <c r="F17" s="10">
        <v>3</v>
      </c>
      <c r="G17" s="10">
        <v>4</v>
      </c>
      <c r="H17" s="10">
        <v>5</v>
      </c>
      <c r="I17" s="10">
        <v>6</v>
      </c>
      <c r="J17" s="21" t="s">
        <v>493</v>
      </c>
      <c r="K17"/>
      <c r="S17"/>
    </row>
    <row r="18" spans="1:19" ht="15" customHeight="1" x14ac:dyDescent="0.35">
      <c r="A18" s="11" t="s">
        <v>683</v>
      </c>
      <c r="B18" s="11"/>
      <c r="C18"/>
      <c r="D18" s="11"/>
      <c r="E18" s="11"/>
      <c r="F18" s="11"/>
      <c r="G18" s="11"/>
      <c r="H18" s="11"/>
      <c r="I18" s="11"/>
      <c r="J18" s="11"/>
      <c r="K18"/>
      <c r="S18"/>
    </row>
    <row r="19" spans="1:19" ht="15" customHeight="1" x14ac:dyDescent="0.35">
      <c r="A19"/>
      <c r="B19" t="s">
        <v>626</v>
      </c>
      <c r="C19" t="str">
        <f>INDEX(Taulukko25[Seura],MATCH(B19,Taulukko25[Nimi],0))</f>
        <v>Akilles</v>
      </c>
      <c r="D19">
        <v>17</v>
      </c>
      <c r="E19">
        <v>15</v>
      </c>
      <c r="F19">
        <v>10</v>
      </c>
      <c r="G19">
        <v>20</v>
      </c>
      <c r="H19">
        <v>8</v>
      </c>
      <c r="J19" s="2">
        <v>70</v>
      </c>
      <c r="K19"/>
      <c r="S19"/>
    </row>
    <row r="20" spans="1:19" ht="15" customHeight="1" x14ac:dyDescent="0.35">
      <c r="A20"/>
      <c r="B20" t="s">
        <v>569</v>
      </c>
      <c r="C20" t="str">
        <f>INDEX(Taulukko25[Seura],MATCH(B20,Taulukko25[Nimi],0))</f>
        <v>VlkMTB</v>
      </c>
      <c r="D20">
        <v>20</v>
      </c>
      <c r="E20">
        <v>17</v>
      </c>
      <c r="F20"/>
      <c r="G20"/>
      <c r="H20">
        <v>10</v>
      </c>
      <c r="I20">
        <v>20</v>
      </c>
      <c r="J20" s="2">
        <v>67</v>
      </c>
      <c r="K20"/>
      <c r="S20"/>
    </row>
    <row r="21" spans="1:19" ht="15" customHeight="1" x14ac:dyDescent="0.35">
      <c r="A21"/>
      <c r="B21" t="s">
        <v>593</v>
      </c>
      <c r="C21" t="str">
        <f>INDEX(Taulukko25[Seura],MATCH(B21,Taulukko25[Nimi],0))</f>
        <v>JYPS</v>
      </c>
      <c r="E21"/>
      <c r="F21"/>
      <c r="G21"/>
      <c r="H21">
        <v>6</v>
      </c>
      <c r="I21">
        <v>17</v>
      </c>
      <c r="J21" s="2">
        <v>23</v>
      </c>
      <c r="K21"/>
      <c r="S21"/>
    </row>
    <row r="22" spans="1:19" ht="15" customHeight="1" x14ac:dyDescent="0.35">
      <c r="A22"/>
      <c r="B22" t="s">
        <v>640</v>
      </c>
      <c r="C22" t="str">
        <f>INDEX(Taulukko25[Seura],MATCH(B22,Taulukko25[Nimi],0))</f>
        <v>RaKe / Team Evoc</v>
      </c>
      <c r="E22">
        <v>20</v>
      </c>
      <c r="F22"/>
      <c r="G22"/>
      <c r="J22" s="2">
        <v>20</v>
      </c>
      <c r="K22"/>
      <c r="S22"/>
    </row>
    <row r="23" spans="1:19" ht="15" customHeight="1" x14ac:dyDescent="0.35">
      <c r="A23"/>
      <c r="B23" t="s">
        <v>652</v>
      </c>
      <c r="C23" t="str">
        <f>INDEX(Taulukko25[Seura],MATCH(B23,Taulukko25[Nimi],0))</f>
        <v>CC Ilves</v>
      </c>
      <c r="E23"/>
      <c r="F23">
        <v>6</v>
      </c>
      <c r="G23">
        <v>13</v>
      </c>
      <c r="J23" s="2">
        <v>19</v>
      </c>
      <c r="K23"/>
      <c r="S23"/>
    </row>
    <row r="24" spans="1:19" ht="15" customHeight="1" x14ac:dyDescent="0.35">
      <c r="A24"/>
      <c r="B24" t="s">
        <v>444</v>
      </c>
      <c r="C24" t="str">
        <f>INDEX(Taulukko25[Seura],MATCH(B24,Taulukko25[Nimi],0))</f>
        <v>GIF</v>
      </c>
      <c r="E24"/>
      <c r="F24"/>
      <c r="G24">
        <v>17</v>
      </c>
      <c r="J24" s="2">
        <v>17</v>
      </c>
      <c r="K24"/>
      <c r="S24"/>
    </row>
    <row r="25" spans="1:19" ht="15" customHeight="1" x14ac:dyDescent="0.35">
      <c r="A25"/>
      <c r="B25" t="s">
        <v>570</v>
      </c>
      <c r="C25" t="str">
        <f>INDEX(Taulukko25[Seura],MATCH(B25,Taulukko25[Nimi],0))</f>
        <v>TWD-Länken</v>
      </c>
      <c r="D25">
        <v>15</v>
      </c>
      <c r="E25"/>
      <c r="F25"/>
      <c r="G25"/>
      <c r="J25" s="2">
        <v>15</v>
      </c>
      <c r="K25"/>
      <c r="S25"/>
    </row>
    <row r="26" spans="1:19" ht="15" customHeight="1" x14ac:dyDescent="0.35">
      <c r="A26"/>
      <c r="B26" t="s">
        <v>657</v>
      </c>
      <c r="C26" t="str">
        <f>INDEX(Taulukko25[Seura],MATCH(B26,Taulukko25[Nimi],0))</f>
        <v>OTC</v>
      </c>
      <c r="E26"/>
      <c r="F26"/>
      <c r="G26">
        <v>15</v>
      </c>
      <c r="J26" s="2">
        <v>15</v>
      </c>
      <c r="K26"/>
      <c r="S26"/>
    </row>
    <row r="27" spans="1:19" ht="15" customHeight="1" x14ac:dyDescent="0.35">
      <c r="A27"/>
      <c r="B27" t="s">
        <v>568</v>
      </c>
      <c r="C27" t="str">
        <f>INDEX(Taulukko25[Seura],MATCH(B27,Taulukko25[Nimi],0))</f>
        <v>HyPy</v>
      </c>
      <c r="E27"/>
      <c r="F27"/>
      <c r="G27"/>
      <c r="I27">
        <v>15</v>
      </c>
      <c r="J27" s="2">
        <v>15</v>
      </c>
      <c r="K27"/>
      <c r="S27"/>
    </row>
    <row r="28" spans="1:19" ht="15" customHeight="1" x14ac:dyDescent="0.35">
      <c r="A28"/>
      <c r="B28" t="s">
        <v>48</v>
      </c>
      <c r="C28" t="str">
        <f>INDEX(Taulukko25[Seura],MATCH(B28,Taulukko25[Nimi],0))</f>
        <v>TVC</v>
      </c>
      <c r="E28">
        <v>13</v>
      </c>
      <c r="F28"/>
      <c r="G28"/>
      <c r="J28" s="2">
        <v>13</v>
      </c>
      <c r="K28"/>
      <c r="S28"/>
    </row>
    <row r="29" spans="1:19" ht="15" customHeight="1" x14ac:dyDescent="0.35">
      <c r="A29"/>
      <c r="B29" t="s">
        <v>627</v>
      </c>
      <c r="C29" t="str">
        <f>INDEX(Taulukko25[Seura],MATCH(B29,Taulukko25[Nimi],0))</f>
        <v>LaPy</v>
      </c>
      <c r="D29">
        <v>13</v>
      </c>
      <c r="E29"/>
      <c r="F29"/>
      <c r="G29"/>
      <c r="J29" s="2">
        <v>13</v>
      </c>
      <c r="K29"/>
      <c r="S29"/>
    </row>
    <row r="30" spans="1:19" ht="15" customHeight="1" x14ac:dyDescent="0.35">
      <c r="A30"/>
      <c r="B30" t="s">
        <v>576</v>
      </c>
      <c r="C30" t="str">
        <f>INDEX(Taulukko25[Seura],MATCH(B30,Taulukko25[Nimi],0))</f>
        <v>IU</v>
      </c>
      <c r="E30">
        <v>11</v>
      </c>
      <c r="F30"/>
      <c r="G30"/>
      <c r="J30" s="2">
        <v>11</v>
      </c>
      <c r="K30"/>
      <c r="S30"/>
    </row>
    <row r="31" spans="1:19" ht="15" customHeight="1" x14ac:dyDescent="0.35">
      <c r="A31"/>
      <c r="B31" t="s">
        <v>610</v>
      </c>
      <c r="C31" t="str">
        <f>INDEX(Taulukko25[Seura],MATCH(B31,Taulukko25[Nimi],0))</f>
        <v>PyöRi</v>
      </c>
      <c r="E31"/>
      <c r="F31">
        <v>8</v>
      </c>
      <c r="G31"/>
      <c r="J31" s="2">
        <v>8</v>
      </c>
      <c r="K31"/>
      <c r="S31"/>
    </row>
    <row r="32" spans="1:19" ht="15" customHeight="1" x14ac:dyDescent="0.35">
      <c r="A32"/>
      <c r="B32" t="s">
        <v>577</v>
      </c>
      <c r="C32" t="str">
        <f>INDEX(Taulukko25[Seura],MATCH(B32,Taulukko25[Nimi],0))</f>
        <v>VlkMTB</v>
      </c>
      <c r="E32"/>
      <c r="F32"/>
      <c r="G32"/>
      <c r="H32">
        <v>5</v>
      </c>
      <c r="J32" s="2">
        <v>5</v>
      </c>
      <c r="K32"/>
      <c r="S32"/>
    </row>
    <row r="33" spans="1:19" ht="15" customHeight="1" x14ac:dyDescent="0.35">
      <c r="A33"/>
      <c r="B33" t="s">
        <v>667</v>
      </c>
      <c r="C33" t="str">
        <f>INDEX(Taulukko25[Seura],MATCH(B33,Taulukko25[Nimi],0))</f>
        <v>JYPS</v>
      </c>
      <c r="E33"/>
      <c r="F33"/>
      <c r="G33"/>
      <c r="H33">
        <v>4</v>
      </c>
      <c r="J33" s="2">
        <v>4</v>
      </c>
      <c r="K33"/>
      <c r="S33"/>
    </row>
    <row r="34" spans="1:19" ht="15" customHeight="1" x14ac:dyDescent="0.35">
      <c r="A34"/>
      <c r="B34" t="s">
        <v>668</v>
      </c>
      <c r="C34" t="str">
        <f>INDEX(Taulukko25[Seura],MATCH(B34,Taulukko25[Nimi],0))</f>
        <v>KorsKa</v>
      </c>
      <c r="E34"/>
      <c r="F34"/>
      <c r="G34"/>
      <c r="H34">
        <v>3</v>
      </c>
      <c r="J34" s="2">
        <v>3</v>
      </c>
      <c r="K34"/>
      <c r="S34"/>
    </row>
    <row r="35" spans="1:19" ht="15" customHeight="1" x14ac:dyDescent="0.35">
      <c r="A35" s="11" t="s">
        <v>682</v>
      </c>
      <c r="B35" s="11"/>
      <c r="C35"/>
      <c r="D35" s="11"/>
      <c r="E35" s="11"/>
      <c r="F35" s="11"/>
      <c r="G35" s="11"/>
      <c r="H35" s="11"/>
      <c r="I35" s="11"/>
      <c r="J35" s="11"/>
      <c r="K35"/>
      <c r="S35"/>
    </row>
    <row r="36" spans="1:19" ht="15" customHeight="1" x14ac:dyDescent="0.35">
      <c r="A36"/>
      <c r="B36" t="s">
        <v>590</v>
      </c>
      <c r="C36" t="str">
        <f>INDEX(Taulukko25[Seura],MATCH(B36,Taulukko25[Nimi],0))</f>
        <v>JYPS</v>
      </c>
      <c r="E36">
        <v>20</v>
      </c>
      <c r="F36"/>
      <c r="G36">
        <v>20</v>
      </c>
      <c r="I36">
        <v>20</v>
      </c>
      <c r="J36" s="2">
        <v>60</v>
      </c>
      <c r="K36"/>
      <c r="S36"/>
    </row>
    <row r="37" spans="1:19" ht="15" customHeight="1" x14ac:dyDescent="0.35">
      <c r="A37"/>
      <c r="B37" t="s">
        <v>563</v>
      </c>
      <c r="C37" t="str">
        <f>INDEX(Taulukko25[Seura],MATCH(B37,Taulukko25[Nimi],0))</f>
        <v>KorsKa</v>
      </c>
      <c r="D37">
        <v>17</v>
      </c>
      <c r="E37">
        <v>17</v>
      </c>
      <c r="F37"/>
      <c r="G37"/>
      <c r="I37">
        <v>17</v>
      </c>
      <c r="J37" s="2">
        <v>51</v>
      </c>
      <c r="K37"/>
      <c r="S37"/>
    </row>
    <row r="38" spans="1:19" ht="15" customHeight="1" x14ac:dyDescent="0.35">
      <c r="A38"/>
      <c r="B38" t="s">
        <v>560</v>
      </c>
      <c r="C38" t="str">
        <f>INDEX(Taulukko25[Seura],MATCH(B38,Taulukko25[Nimi],0))</f>
        <v>OP-P</v>
      </c>
      <c r="E38"/>
      <c r="F38">
        <v>10</v>
      </c>
      <c r="G38">
        <v>17</v>
      </c>
      <c r="H38">
        <v>4</v>
      </c>
      <c r="I38">
        <v>11</v>
      </c>
      <c r="J38" s="2">
        <v>42</v>
      </c>
      <c r="K38"/>
      <c r="S38"/>
    </row>
    <row r="39" spans="1:19" ht="15" customHeight="1" x14ac:dyDescent="0.35">
      <c r="A39"/>
      <c r="B39" t="s">
        <v>625</v>
      </c>
      <c r="C39" t="str">
        <f>INDEX(Taulukko25[Seura],MATCH(B39,Taulukko25[Nimi],0))</f>
        <v>RSR</v>
      </c>
      <c r="D39">
        <v>15</v>
      </c>
      <c r="E39"/>
      <c r="F39"/>
      <c r="G39"/>
      <c r="I39">
        <v>15</v>
      </c>
      <c r="J39" s="2">
        <v>30</v>
      </c>
      <c r="K39"/>
      <c r="S39"/>
    </row>
    <row r="40" spans="1:19" ht="15" customHeight="1" x14ac:dyDescent="0.35">
      <c r="A40"/>
      <c r="B40" t="s">
        <v>663</v>
      </c>
      <c r="C40" t="str">
        <f>INDEX(Taulukko25[Seura],MATCH(B40,Taulukko25[Nimi],0))</f>
        <v>OTC</v>
      </c>
      <c r="E40"/>
      <c r="F40"/>
      <c r="G40"/>
      <c r="H40">
        <v>10</v>
      </c>
      <c r="I40">
        <v>13</v>
      </c>
      <c r="J40" s="2">
        <v>23</v>
      </c>
      <c r="K40"/>
      <c r="S40"/>
    </row>
    <row r="41" spans="1:19" ht="15" customHeight="1" x14ac:dyDescent="0.35">
      <c r="A41"/>
      <c r="B41" t="s">
        <v>623</v>
      </c>
      <c r="C41" t="str">
        <f>INDEX(Taulukko25[Seura],MATCH(B41,Taulukko25[Nimi],0))</f>
        <v>RSR</v>
      </c>
      <c r="D41">
        <v>20</v>
      </c>
      <c r="E41"/>
      <c r="F41"/>
      <c r="G41"/>
      <c r="J41" s="2">
        <v>20</v>
      </c>
      <c r="K41"/>
      <c r="S41"/>
    </row>
    <row r="42" spans="1:19" ht="15" customHeight="1" x14ac:dyDescent="0.35">
      <c r="A42"/>
      <c r="B42" t="s">
        <v>68</v>
      </c>
      <c r="C42" t="str">
        <f>INDEX(Taulukko25[Seura],MATCH(B42,Taulukko25[Nimi],0))</f>
        <v>ProMTB</v>
      </c>
      <c r="E42">
        <v>15</v>
      </c>
      <c r="F42"/>
      <c r="G42"/>
      <c r="J42" s="2">
        <v>15</v>
      </c>
      <c r="K42"/>
      <c r="S42"/>
    </row>
    <row r="43" spans="1:19" ht="15" customHeight="1" x14ac:dyDescent="0.35">
      <c r="A43"/>
      <c r="B43" t="s">
        <v>190</v>
      </c>
      <c r="C43" t="str">
        <f>INDEX(Taulukko25[Seura],MATCH(B43,Taulukko25[Nimi],0))</f>
        <v>RMTB</v>
      </c>
      <c r="D43">
        <v>13</v>
      </c>
      <c r="E43"/>
      <c r="F43"/>
      <c r="G43"/>
      <c r="J43" s="2">
        <v>13</v>
      </c>
      <c r="K43"/>
      <c r="S43"/>
    </row>
    <row r="44" spans="1:19" ht="15" customHeight="1" x14ac:dyDescent="0.35">
      <c r="A44"/>
      <c r="B44" t="s">
        <v>564</v>
      </c>
      <c r="C44" t="str">
        <f>INDEX(Taulukko25[Seura],MATCH(B44,Taulukko25[Nimi],0))</f>
        <v>CCH</v>
      </c>
      <c r="E44">
        <v>13</v>
      </c>
      <c r="F44"/>
      <c r="G44"/>
      <c r="J44" s="2">
        <v>13</v>
      </c>
      <c r="K44"/>
      <c r="S44"/>
    </row>
    <row r="45" spans="1:19" ht="15" customHeight="1" x14ac:dyDescent="0.35">
      <c r="A45"/>
      <c r="B45" t="s">
        <v>664</v>
      </c>
      <c r="C45" t="str">
        <f>INDEX(Taulukko25[Seura],MATCH(B45,Taulukko25[Nimi],0))</f>
        <v>MSR</v>
      </c>
      <c r="E45"/>
      <c r="F45"/>
      <c r="G45"/>
      <c r="H45">
        <v>8</v>
      </c>
      <c r="J45" s="2">
        <v>8</v>
      </c>
      <c r="K45"/>
      <c r="S45"/>
    </row>
    <row r="46" spans="1:19" ht="15" customHeight="1" x14ac:dyDescent="0.35">
      <c r="A46"/>
      <c r="B46" t="s">
        <v>665</v>
      </c>
      <c r="C46" t="str">
        <f>INDEX(Taulukko25[Seura],MATCH(B46,Taulukko25[Nimi],0))</f>
        <v>PoTa</v>
      </c>
      <c r="E46"/>
      <c r="F46"/>
      <c r="G46"/>
      <c r="H46">
        <v>6</v>
      </c>
      <c r="J46" s="2">
        <v>6</v>
      </c>
      <c r="K46"/>
      <c r="S46"/>
    </row>
    <row r="47" spans="1:19" ht="15" customHeight="1" x14ac:dyDescent="0.35">
      <c r="A47"/>
      <c r="B47" t="s">
        <v>666</v>
      </c>
      <c r="C47" t="str">
        <f>INDEX(Taulukko25[Seura],MATCH(B47,Taulukko25[Nimi],0))</f>
        <v>Larsmo IF</v>
      </c>
      <c r="E47"/>
      <c r="F47"/>
      <c r="G47"/>
      <c r="H47">
        <v>5</v>
      </c>
      <c r="J47" s="2">
        <v>5</v>
      </c>
      <c r="K47"/>
      <c r="S47"/>
    </row>
    <row r="48" spans="1:19" ht="15" customHeight="1" x14ac:dyDescent="0.35">
      <c r="A48" s="11" t="s">
        <v>645</v>
      </c>
      <c r="B48" s="11"/>
      <c r="C48"/>
      <c r="D48" s="11"/>
      <c r="E48" s="11"/>
      <c r="F48" s="11"/>
      <c r="G48" s="11"/>
      <c r="H48" s="11"/>
      <c r="I48" s="11"/>
      <c r="J48" s="11"/>
      <c r="K48"/>
      <c r="S48"/>
    </row>
    <row r="49" spans="1:19" ht="15" customHeight="1" x14ac:dyDescent="0.35">
      <c r="A49"/>
      <c r="B49" t="s">
        <v>70</v>
      </c>
      <c r="C49" t="str">
        <f>INDEX(Taulukko25[Seura],MATCH(B49,Taulukko25[Nimi],0))</f>
        <v xml:space="preserve">LrPy </v>
      </c>
      <c r="D49">
        <v>20</v>
      </c>
      <c r="E49">
        <v>17</v>
      </c>
      <c r="F49">
        <v>8</v>
      </c>
      <c r="G49">
        <v>20</v>
      </c>
      <c r="H49">
        <v>6</v>
      </c>
      <c r="I49">
        <v>13</v>
      </c>
      <c r="J49" s="2">
        <v>84</v>
      </c>
      <c r="K49"/>
      <c r="S49"/>
    </row>
    <row r="50" spans="1:19" ht="15" customHeight="1" x14ac:dyDescent="0.35">
      <c r="A50"/>
      <c r="B50" t="s">
        <v>71</v>
      </c>
      <c r="C50" t="str">
        <f>INDEX(Taulukko25[Seura],MATCH(B50,Taulukko25[Nimi],0))</f>
        <v>Rideep</v>
      </c>
      <c r="D50">
        <v>17</v>
      </c>
      <c r="E50">
        <v>13</v>
      </c>
      <c r="F50">
        <v>10</v>
      </c>
      <c r="G50">
        <v>17</v>
      </c>
      <c r="H50">
        <v>5</v>
      </c>
      <c r="I50">
        <v>15</v>
      </c>
      <c r="J50" s="2">
        <v>77</v>
      </c>
      <c r="K50"/>
      <c r="S50"/>
    </row>
    <row r="51" spans="1:19" ht="15" customHeight="1" x14ac:dyDescent="0.35">
      <c r="A51"/>
      <c r="B51" t="s">
        <v>439</v>
      </c>
      <c r="C51" t="str">
        <f>INDEX(Taulukko25[Seura],MATCH(B51,Taulukko25[Nimi],0))</f>
        <v>Larsmo IF</v>
      </c>
      <c r="E51">
        <v>20</v>
      </c>
      <c r="F51"/>
      <c r="G51"/>
      <c r="H51">
        <v>8</v>
      </c>
      <c r="I51">
        <v>20</v>
      </c>
      <c r="J51" s="2">
        <v>48</v>
      </c>
      <c r="K51"/>
      <c r="S51"/>
    </row>
    <row r="52" spans="1:19" ht="15" customHeight="1" x14ac:dyDescent="0.35">
      <c r="A52"/>
      <c r="B52" t="s">
        <v>75</v>
      </c>
      <c r="C52" t="str">
        <f>INDEX(Taulukko25[Seura],MATCH(B52,Taulukko25[Nimi],0))</f>
        <v>HyPy</v>
      </c>
      <c r="D52">
        <v>13</v>
      </c>
      <c r="E52"/>
      <c r="F52">
        <v>6</v>
      </c>
      <c r="G52">
        <v>15</v>
      </c>
      <c r="H52">
        <v>2</v>
      </c>
      <c r="I52">
        <v>9</v>
      </c>
      <c r="J52" s="2">
        <v>45</v>
      </c>
      <c r="K52"/>
      <c r="S52"/>
    </row>
    <row r="53" spans="1:19" ht="15" customHeight="1" x14ac:dyDescent="0.35">
      <c r="A53"/>
      <c r="B53" t="s">
        <v>79</v>
      </c>
      <c r="C53" t="str">
        <f>INDEX(Taulukko25[Seura],MATCH(B53,Taulukko25[Nimi],0))</f>
        <v>VlkMTB</v>
      </c>
      <c r="D53">
        <v>15</v>
      </c>
      <c r="E53"/>
      <c r="F53"/>
      <c r="G53"/>
      <c r="H53">
        <v>3</v>
      </c>
      <c r="I53">
        <v>10</v>
      </c>
      <c r="J53" s="2">
        <v>28</v>
      </c>
      <c r="K53"/>
      <c r="S53"/>
    </row>
    <row r="54" spans="1:19" ht="15" customHeight="1" x14ac:dyDescent="0.35">
      <c r="A54"/>
      <c r="B54" t="s">
        <v>444</v>
      </c>
      <c r="C54" t="str">
        <f>INDEX(Taulukko25[Seura],MATCH(B54,Taulukko25[Nimi],0))</f>
        <v>GIF</v>
      </c>
      <c r="E54"/>
      <c r="F54"/>
      <c r="G54"/>
      <c r="H54">
        <v>10</v>
      </c>
      <c r="I54">
        <v>17</v>
      </c>
      <c r="J54" s="2">
        <v>27</v>
      </c>
      <c r="K54"/>
      <c r="S54"/>
    </row>
    <row r="55" spans="1:19" ht="15" customHeight="1" x14ac:dyDescent="0.35">
      <c r="A55"/>
      <c r="B55" t="s">
        <v>206</v>
      </c>
      <c r="C55" t="str">
        <f>INDEX(Taulukko25[Seura],MATCH(B55,Taulukko25[Nimi],0))</f>
        <v>OTC</v>
      </c>
      <c r="D55">
        <v>10</v>
      </c>
      <c r="E55">
        <v>10</v>
      </c>
      <c r="F55"/>
      <c r="G55"/>
      <c r="I55">
        <v>7</v>
      </c>
      <c r="J55" s="2">
        <v>27</v>
      </c>
      <c r="K55"/>
      <c r="S55"/>
    </row>
    <row r="56" spans="1:19" ht="15" customHeight="1" x14ac:dyDescent="0.35">
      <c r="A56"/>
      <c r="B56" t="s">
        <v>669</v>
      </c>
      <c r="C56" t="str">
        <f>INDEX(Taulukko25[Seura],MATCH(B56,Taulukko25[Nimi],0))</f>
        <v>HyPy</v>
      </c>
      <c r="E56">
        <v>11</v>
      </c>
      <c r="F56"/>
      <c r="G56"/>
      <c r="I56">
        <v>8</v>
      </c>
      <c r="J56" s="2">
        <v>19</v>
      </c>
      <c r="K56"/>
      <c r="S56"/>
    </row>
    <row r="57" spans="1:19" ht="15" customHeight="1" x14ac:dyDescent="0.35">
      <c r="A57"/>
      <c r="B57" t="s">
        <v>642</v>
      </c>
      <c r="C57" t="str">
        <f>INDEX(Taulukko25[Seura],MATCH(B57,Taulukko25[Nimi],0))</f>
        <v>GIF / Prorog MTB Team</v>
      </c>
      <c r="E57">
        <v>15</v>
      </c>
      <c r="F57"/>
      <c r="G57"/>
      <c r="J57" s="2">
        <v>15</v>
      </c>
      <c r="K57"/>
      <c r="S57"/>
    </row>
    <row r="58" spans="1:19" ht="15" customHeight="1" x14ac:dyDescent="0.35">
      <c r="A58"/>
      <c r="B58" t="s">
        <v>69</v>
      </c>
      <c r="C58" t="str">
        <f>INDEX(Taulukko25[Seura],MATCH(B58,Taulukko25[Nimi],0))</f>
        <v>ProMTB</v>
      </c>
      <c r="E58"/>
      <c r="F58"/>
      <c r="G58"/>
      <c r="H58">
        <v>4</v>
      </c>
      <c r="I58">
        <v>11</v>
      </c>
      <c r="J58" s="2">
        <v>15</v>
      </c>
      <c r="K58"/>
      <c r="S58"/>
    </row>
    <row r="59" spans="1:19" ht="15" customHeight="1" x14ac:dyDescent="0.35">
      <c r="A59"/>
      <c r="B59" t="s">
        <v>318</v>
      </c>
      <c r="C59" t="str">
        <f>INDEX(Taulukko25[Seura],MATCH(B59,Taulukko25[Nimi],0))</f>
        <v>KorsKa</v>
      </c>
      <c r="D59">
        <v>11</v>
      </c>
      <c r="E59"/>
      <c r="F59"/>
      <c r="G59"/>
      <c r="J59" s="2">
        <v>11</v>
      </c>
      <c r="K59"/>
      <c r="S59"/>
    </row>
    <row r="60" spans="1:19" ht="15" customHeight="1" x14ac:dyDescent="0.35">
      <c r="A60"/>
      <c r="B60" t="s">
        <v>629</v>
      </c>
      <c r="C60" t="str">
        <f>INDEX(Taulukko25[Seura],MATCH(B60,Taulukko25[Nimi],0))</f>
        <v>Hypy</v>
      </c>
      <c r="D60">
        <v>9</v>
      </c>
      <c r="E60"/>
      <c r="F60"/>
      <c r="G60"/>
      <c r="J60" s="2">
        <v>9</v>
      </c>
      <c r="K60"/>
      <c r="S60"/>
    </row>
    <row r="61" spans="1:19" ht="15" customHeight="1" x14ac:dyDescent="0.35">
      <c r="A61"/>
      <c r="B61" t="s">
        <v>451</v>
      </c>
      <c r="C61" t="str">
        <f>INDEX(Taulukko25[Seura],MATCH(B61,Taulukko25[Nimi],0))</f>
        <v>KorsKa</v>
      </c>
      <c r="E61"/>
      <c r="F61"/>
      <c r="G61"/>
      <c r="H61">
        <v>1</v>
      </c>
      <c r="J61" s="2">
        <v>1</v>
      </c>
      <c r="K61"/>
      <c r="S61"/>
    </row>
    <row r="62" spans="1:19" ht="15" customHeight="1" x14ac:dyDescent="0.35">
      <c r="A62" s="11" t="s">
        <v>646</v>
      </c>
      <c r="B62" s="11"/>
      <c r="C62"/>
      <c r="D62" s="11"/>
      <c r="E62" s="11"/>
      <c r="F62" s="11"/>
      <c r="G62" s="11"/>
      <c r="H62" s="11"/>
      <c r="I62" s="11"/>
      <c r="J62" s="11"/>
      <c r="K62"/>
      <c r="S62"/>
    </row>
    <row r="63" spans="1:19" ht="15" customHeight="1" x14ac:dyDescent="0.35">
      <c r="A63"/>
      <c r="B63" t="s">
        <v>209</v>
      </c>
      <c r="C63" t="str">
        <f>INDEX(Taulukko25[Seura],MATCH(B63,Taulukko25[Nimi],0))</f>
        <v>OTC</v>
      </c>
      <c r="E63">
        <v>20</v>
      </c>
      <c r="F63">
        <v>6</v>
      </c>
      <c r="G63">
        <v>15</v>
      </c>
      <c r="H63">
        <v>8</v>
      </c>
      <c r="J63" s="2">
        <v>49</v>
      </c>
      <c r="K63"/>
      <c r="S63"/>
    </row>
    <row r="64" spans="1:19" ht="15" customHeight="1" x14ac:dyDescent="0.35">
      <c r="A64"/>
      <c r="B64" t="s">
        <v>68</v>
      </c>
      <c r="C64" t="str">
        <f>INDEX(Taulukko25[Seura],MATCH(B64,Taulukko25[Nimi],0))</f>
        <v>ProMTB</v>
      </c>
      <c r="E64"/>
      <c r="F64">
        <v>10</v>
      </c>
      <c r="G64">
        <v>20</v>
      </c>
      <c r="H64">
        <v>10</v>
      </c>
      <c r="J64" s="2">
        <v>40</v>
      </c>
      <c r="K64"/>
      <c r="S64"/>
    </row>
    <row r="65" spans="1:19" ht="15" customHeight="1" x14ac:dyDescent="0.35">
      <c r="A65"/>
      <c r="B65" t="s">
        <v>340</v>
      </c>
      <c r="C65" t="str">
        <f>INDEX(Taulukko25[Seura],MATCH(B65,Taulukko25[Nimi],0))</f>
        <v>KorsKa</v>
      </c>
      <c r="E65"/>
      <c r="F65">
        <v>4</v>
      </c>
      <c r="G65">
        <v>11</v>
      </c>
      <c r="H65">
        <v>5</v>
      </c>
      <c r="J65" s="2">
        <v>20</v>
      </c>
      <c r="K65"/>
      <c r="S65"/>
    </row>
    <row r="66" spans="1:19" ht="15" customHeight="1" x14ac:dyDescent="0.35">
      <c r="A66"/>
      <c r="B66" t="s">
        <v>190</v>
      </c>
      <c r="C66" t="str">
        <f>INDEX(Taulukko25[Seura],MATCH(B66,Taulukko25[Nimi],0))</f>
        <v>RMTB</v>
      </c>
      <c r="E66"/>
      <c r="F66">
        <v>5</v>
      </c>
      <c r="G66">
        <v>13</v>
      </c>
      <c r="J66" s="2">
        <v>18</v>
      </c>
      <c r="K66"/>
      <c r="S66"/>
    </row>
    <row r="67" spans="1:19" ht="15" customHeight="1" x14ac:dyDescent="0.35">
      <c r="A67"/>
      <c r="B67" t="s">
        <v>197</v>
      </c>
      <c r="C67" t="str">
        <f>INDEX(Taulukko25[Seura],MATCH(B67,Taulukko25[Nimi],0))</f>
        <v>PoTa</v>
      </c>
      <c r="E67"/>
      <c r="F67"/>
      <c r="G67"/>
      <c r="H67">
        <v>6</v>
      </c>
      <c r="J67" s="2">
        <v>6</v>
      </c>
      <c r="K67"/>
      <c r="S67"/>
    </row>
    <row r="68" spans="1:19" ht="15" customHeight="1" x14ac:dyDescent="0.35">
      <c r="A68" s="11" t="s">
        <v>573</v>
      </c>
      <c r="B68" s="11"/>
      <c r="C68"/>
      <c r="D68" s="11"/>
      <c r="E68" s="11"/>
      <c r="F68" s="11"/>
      <c r="G68" s="11"/>
      <c r="H68" s="11"/>
      <c r="I68" s="11"/>
      <c r="J68" s="11"/>
      <c r="K68"/>
      <c r="S68"/>
    </row>
    <row r="69" spans="1:19" ht="15" customHeight="1" x14ac:dyDescent="0.35">
      <c r="A69"/>
      <c r="B69" t="s">
        <v>631</v>
      </c>
      <c r="C69" t="str">
        <f>INDEX(Taulukko25[Seura],MATCH(B69,Taulukko25[Nimi],0))</f>
        <v>TY</v>
      </c>
      <c r="D69">
        <v>17</v>
      </c>
      <c r="E69">
        <v>17</v>
      </c>
      <c r="F69">
        <v>6</v>
      </c>
      <c r="G69">
        <v>13</v>
      </c>
      <c r="H69">
        <v>3</v>
      </c>
      <c r="I69">
        <v>9</v>
      </c>
      <c r="J69" s="2">
        <v>65</v>
      </c>
      <c r="K69"/>
      <c r="S69"/>
    </row>
    <row r="70" spans="1:19" ht="15" customHeight="1" x14ac:dyDescent="0.35">
      <c r="A70"/>
      <c r="B70" t="s">
        <v>575</v>
      </c>
      <c r="C70" t="str">
        <f>INDEX(Taulukko25[Seura],MATCH(B70,Taulukko25[Nimi],0))</f>
        <v>IU</v>
      </c>
      <c r="E70"/>
      <c r="F70">
        <v>10</v>
      </c>
      <c r="G70">
        <v>20</v>
      </c>
      <c r="H70">
        <v>6</v>
      </c>
      <c r="I70">
        <v>17</v>
      </c>
      <c r="J70" s="2">
        <v>53</v>
      </c>
      <c r="K70"/>
      <c r="S70"/>
    </row>
    <row r="71" spans="1:19" ht="15" customHeight="1" x14ac:dyDescent="0.35">
      <c r="A71"/>
      <c r="B71" t="s">
        <v>659</v>
      </c>
      <c r="C71" t="str">
        <f>INDEX(Taulukko25[Seura],MATCH(B71,Taulukko25[Nimi],0))</f>
        <v>OP-P</v>
      </c>
      <c r="E71"/>
      <c r="F71"/>
      <c r="G71">
        <v>15</v>
      </c>
      <c r="I71">
        <v>10</v>
      </c>
      <c r="J71" s="2">
        <v>25</v>
      </c>
      <c r="K71"/>
      <c r="S71"/>
    </row>
    <row r="72" spans="1:19" ht="15" customHeight="1" x14ac:dyDescent="0.35">
      <c r="A72"/>
      <c r="B72" t="s">
        <v>675</v>
      </c>
      <c r="C72" t="str">
        <f>INDEX(Taulukko25[Seura],MATCH(B72,Taulukko25[Nimi],0))</f>
        <v>VeloSaimaa</v>
      </c>
      <c r="E72"/>
      <c r="F72"/>
      <c r="G72"/>
      <c r="H72">
        <v>5</v>
      </c>
      <c r="I72">
        <v>20</v>
      </c>
      <c r="J72" s="2">
        <v>25</v>
      </c>
      <c r="K72"/>
      <c r="S72"/>
    </row>
    <row r="73" spans="1:19" ht="15" customHeight="1" x14ac:dyDescent="0.35">
      <c r="A73"/>
      <c r="B73" t="s">
        <v>676</v>
      </c>
      <c r="C73" t="str">
        <f>INDEX(Taulukko25[Seura],MATCH(B73,Taulukko25[Nimi],0))</f>
        <v>OTC</v>
      </c>
      <c r="E73"/>
      <c r="F73"/>
      <c r="G73"/>
      <c r="H73">
        <v>10</v>
      </c>
      <c r="I73">
        <v>13</v>
      </c>
      <c r="J73" s="2">
        <v>23</v>
      </c>
      <c r="K73"/>
      <c r="S73"/>
    </row>
    <row r="74" spans="1:19" ht="15" customHeight="1" x14ac:dyDescent="0.35">
      <c r="A74"/>
      <c r="B74" t="s">
        <v>574</v>
      </c>
      <c r="C74" t="str">
        <f>INDEX(Taulukko25[Seura],MATCH(B74,Taulukko25[Nimi],0))</f>
        <v>HyPy</v>
      </c>
      <c r="E74"/>
      <c r="F74"/>
      <c r="G74"/>
      <c r="H74">
        <v>8</v>
      </c>
      <c r="I74">
        <v>15</v>
      </c>
      <c r="J74" s="2">
        <v>23</v>
      </c>
      <c r="K74"/>
      <c r="S74"/>
    </row>
    <row r="75" spans="1:19" ht="15" customHeight="1" x14ac:dyDescent="0.35">
      <c r="A75"/>
      <c r="B75" t="s">
        <v>605</v>
      </c>
      <c r="C75" t="str">
        <f>INDEX(Taulukko25[Seura],MATCH(B75,Taulukko25[Nimi],0))</f>
        <v>CCH</v>
      </c>
      <c r="D75">
        <v>20</v>
      </c>
      <c r="E75"/>
      <c r="F75"/>
      <c r="G75"/>
      <c r="J75" s="2">
        <v>20</v>
      </c>
      <c r="K75"/>
      <c r="S75"/>
    </row>
    <row r="76" spans="1:19" ht="15" customHeight="1" x14ac:dyDescent="0.35">
      <c r="A76"/>
      <c r="B76" t="s">
        <v>641</v>
      </c>
      <c r="C76" t="str">
        <f>INDEX(Taulukko25[Seura],MATCH(B76,Taulukko25[Nimi],0))</f>
        <v>ProMTB</v>
      </c>
      <c r="E76">
        <v>20</v>
      </c>
      <c r="F76"/>
      <c r="G76"/>
      <c r="J76" s="2">
        <v>20</v>
      </c>
      <c r="K76"/>
      <c r="S76"/>
    </row>
    <row r="77" spans="1:19" ht="15" customHeight="1" x14ac:dyDescent="0.35">
      <c r="A77"/>
      <c r="B77" t="s">
        <v>658</v>
      </c>
      <c r="C77" t="str">
        <f>INDEX(Taulukko25[Seura],MATCH(B77,Taulukko25[Nimi],0))</f>
        <v>KorsKa</v>
      </c>
      <c r="E77"/>
      <c r="F77"/>
      <c r="G77">
        <v>17</v>
      </c>
      <c r="J77" s="2">
        <v>17</v>
      </c>
      <c r="K77"/>
      <c r="S77"/>
    </row>
    <row r="78" spans="1:19" ht="15" customHeight="1" x14ac:dyDescent="0.35">
      <c r="A78"/>
      <c r="B78" t="s">
        <v>579</v>
      </c>
      <c r="C78" t="str">
        <f>INDEX(Taulukko25[Seura],MATCH(B78,Taulukko25[Nimi],0))</f>
        <v>IK-32</v>
      </c>
      <c r="E78"/>
      <c r="F78"/>
      <c r="G78"/>
      <c r="I78">
        <v>11</v>
      </c>
      <c r="J78" s="2">
        <v>11</v>
      </c>
      <c r="K78"/>
      <c r="S78"/>
    </row>
    <row r="79" spans="1:19" ht="15" customHeight="1" x14ac:dyDescent="0.35">
      <c r="A79"/>
      <c r="B79" t="s">
        <v>581</v>
      </c>
      <c r="C79" t="str">
        <f>INDEX(Taulukko25[Seura],MATCH(B79,Taulukko25[Nimi],0))</f>
        <v>Rideep</v>
      </c>
      <c r="E79"/>
      <c r="F79">
        <v>8</v>
      </c>
      <c r="G79"/>
      <c r="H79">
        <v>2</v>
      </c>
      <c r="J79" s="2">
        <v>10</v>
      </c>
      <c r="K79"/>
      <c r="S79"/>
    </row>
    <row r="80" spans="1:19" ht="15" customHeight="1" x14ac:dyDescent="0.35">
      <c r="A80"/>
      <c r="B80" t="s">
        <v>677</v>
      </c>
      <c r="C80" t="str">
        <f>INDEX(Taulukko25[Seura],MATCH(B80,Taulukko25[Nimi],0))</f>
        <v>Larsmo IF</v>
      </c>
      <c r="E80"/>
      <c r="F80"/>
      <c r="G80"/>
      <c r="H80">
        <v>1</v>
      </c>
      <c r="I80">
        <v>8</v>
      </c>
      <c r="J80" s="2">
        <v>9</v>
      </c>
      <c r="K80"/>
      <c r="S80"/>
    </row>
    <row r="81" spans="1:19" ht="15" customHeight="1" x14ac:dyDescent="0.35">
      <c r="A81"/>
      <c r="B81" t="s">
        <v>582</v>
      </c>
      <c r="C81" t="str">
        <f>INDEX(Taulukko25[Seura],MATCH(B81,Taulukko25[Nimi],0))</f>
        <v>OTC</v>
      </c>
      <c r="E81"/>
      <c r="F81">
        <v>5</v>
      </c>
      <c r="G81"/>
      <c r="J81" s="2">
        <v>5</v>
      </c>
      <c r="K81"/>
      <c r="S81"/>
    </row>
    <row r="82" spans="1:19" ht="15" customHeight="1" x14ac:dyDescent="0.35">
      <c r="A82"/>
      <c r="B82" t="s">
        <v>576</v>
      </c>
      <c r="C82" t="str">
        <f>INDEX(Taulukko25[Seura],MATCH(B82,Taulukko25[Nimi],0))</f>
        <v>IU</v>
      </c>
      <c r="E82"/>
      <c r="F82"/>
      <c r="G82"/>
      <c r="H82">
        <v>4</v>
      </c>
      <c r="J82" s="2">
        <v>4</v>
      </c>
      <c r="K82"/>
      <c r="S82"/>
    </row>
    <row r="83" spans="1:19" ht="15" customHeight="1" x14ac:dyDescent="0.35">
      <c r="A83"/>
      <c r="B83" t="s">
        <v>654</v>
      </c>
      <c r="C83" t="str">
        <f>INDEX(Taulukko25[Seura],MATCH(B83,Taulukko25[Nimi],0))</f>
        <v>GIF</v>
      </c>
      <c r="E83"/>
      <c r="F83">
        <v>4</v>
      </c>
      <c r="G83"/>
      <c r="J83" s="2">
        <v>4</v>
      </c>
      <c r="K83"/>
      <c r="S83"/>
    </row>
    <row r="84" spans="1:19" ht="15" customHeight="1" x14ac:dyDescent="0.35">
      <c r="A84"/>
      <c r="B84" t="s">
        <v>655</v>
      </c>
      <c r="C84" t="str">
        <f>INDEX(Taulukko25[Seura],MATCH(B84,Taulukko25[Nimi],0))</f>
        <v>OTC</v>
      </c>
      <c r="E84"/>
      <c r="F84">
        <v>3</v>
      </c>
      <c r="G84"/>
      <c r="J84" s="2">
        <v>3</v>
      </c>
      <c r="K84"/>
      <c r="S84"/>
    </row>
    <row r="85" spans="1:19" ht="15" customHeight="1" x14ac:dyDescent="0.35">
      <c r="A85" s="11" t="s">
        <v>553</v>
      </c>
      <c r="B85" s="11"/>
      <c r="C85"/>
      <c r="D85" s="11"/>
      <c r="E85" s="11"/>
      <c r="F85" s="11"/>
      <c r="G85" s="11"/>
      <c r="H85" s="11"/>
      <c r="I85" s="11"/>
      <c r="J85" s="11"/>
      <c r="K85"/>
      <c r="S85"/>
    </row>
    <row r="86" spans="1:19" ht="15" customHeight="1" x14ac:dyDescent="0.35">
      <c r="A86"/>
      <c r="B86" t="s">
        <v>555</v>
      </c>
      <c r="C86" t="str">
        <f>INDEX(Taulukko25[Seura],MATCH(B86,Taulukko25[Nimi],0))</f>
        <v>VlkMTB</v>
      </c>
      <c r="D86">
        <v>20</v>
      </c>
      <c r="E86"/>
      <c r="F86"/>
      <c r="G86"/>
      <c r="H86">
        <v>8</v>
      </c>
      <c r="I86">
        <v>20</v>
      </c>
      <c r="J86" s="2">
        <v>48</v>
      </c>
      <c r="K86"/>
      <c r="S86"/>
    </row>
    <row r="87" spans="1:19" ht="15" customHeight="1" x14ac:dyDescent="0.35">
      <c r="A87"/>
      <c r="B87" t="s">
        <v>556</v>
      </c>
      <c r="C87" t="str">
        <f>INDEX(Taulukko25[Seura],MATCH(B87,Taulukko25[Nimi],0))</f>
        <v>Rideep</v>
      </c>
      <c r="E87">
        <v>20</v>
      </c>
      <c r="F87"/>
      <c r="G87"/>
      <c r="H87">
        <v>10</v>
      </c>
      <c r="I87">
        <v>17</v>
      </c>
      <c r="J87" s="2">
        <v>47</v>
      </c>
      <c r="K87"/>
      <c r="S87"/>
    </row>
    <row r="88" spans="1:19" ht="15" customHeight="1" x14ac:dyDescent="0.35">
      <c r="A88"/>
      <c r="B88" t="s">
        <v>558</v>
      </c>
      <c r="C88" t="str">
        <f>INDEX(Taulukko25[Seura],MATCH(B88,Taulukko25[Nimi],0))</f>
        <v>RaKe</v>
      </c>
      <c r="E88">
        <v>17</v>
      </c>
      <c r="F88">
        <v>5</v>
      </c>
      <c r="G88">
        <v>13</v>
      </c>
      <c r="H88">
        <v>6</v>
      </c>
      <c r="J88" s="2">
        <v>41</v>
      </c>
      <c r="K88"/>
      <c r="S88"/>
    </row>
    <row r="89" spans="1:19" ht="15" customHeight="1" x14ac:dyDescent="0.35">
      <c r="A89"/>
      <c r="B89" t="s">
        <v>554</v>
      </c>
      <c r="C89" t="str">
        <f>INDEX(Taulukko25[Seura],MATCH(B89,Taulukko25[Nimi],0))</f>
        <v>RMTB</v>
      </c>
      <c r="E89"/>
      <c r="F89">
        <v>8</v>
      </c>
      <c r="G89">
        <v>17</v>
      </c>
      <c r="J89" s="2">
        <v>25</v>
      </c>
      <c r="K89"/>
      <c r="S89"/>
    </row>
    <row r="90" spans="1:19" ht="15" customHeight="1" x14ac:dyDescent="0.35">
      <c r="A90"/>
      <c r="B90" t="s">
        <v>557</v>
      </c>
      <c r="C90" t="str">
        <f>INDEX(Taulukko25[Seura],MATCH(B90,Taulukko25[Nimi],0))</f>
        <v>KorsKa</v>
      </c>
      <c r="E90"/>
      <c r="F90">
        <v>6</v>
      </c>
      <c r="G90">
        <v>15</v>
      </c>
      <c r="J90" s="2">
        <v>21</v>
      </c>
      <c r="K90"/>
      <c r="S90"/>
    </row>
    <row r="91" spans="1:19" ht="15" customHeight="1" x14ac:dyDescent="0.35">
      <c r="A91"/>
      <c r="B91" t="s">
        <v>674</v>
      </c>
      <c r="C91" t="str">
        <f>INDEX(Taulukko25[Seura],MATCH(B91,Taulukko25[Nimi],0))</f>
        <v>JäPy</v>
      </c>
      <c r="E91"/>
      <c r="F91"/>
      <c r="G91"/>
      <c r="I91">
        <v>15</v>
      </c>
      <c r="J91" s="2">
        <v>15</v>
      </c>
      <c r="K91"/>
      <c r="S91"/>
    </row>
    <row r="92" spans="1:19" ht="15" customHeight="1" x14ac:dyDescent="0.35">
      <c r="A92"/>
      <c r="B92" t="s">
        <v>660</v>
      </c>
      <c r="C92" t="str">
        <f>INDEX(Taulukko25[Seura],MATCH(B92,Taulukko25[Nimi],0))</f>
        <v>RaKe</v>
      </c>
      <c r="E92"/>
      <c r="F92"/>
      <c r="G92"/>
      <c r="H92">
        <v>5</v>
      </c>
      <c r="J92" s="2">
        <v>5</v>
      </c>
      <c r="K92"/>
      <c r="S92"/>
    </row>
    <row r="93" spans="1:19" ht="15" customHeight="1" x14ac:dyDescent="0.35">
      <c r="A93" s="11" t="s">
        <v>584</v>
      </c>
      <c r="B93" s="11"/>
      <c r="C93"/>
      <c r="D93" s="11"/>
      <c r="E93" s="11"/>
      <c r="F93" s="11"/>
      <c r="G93" s="11"/>
      <c r="H93" s="11"/>
      <c r="I93" s="11"/>
      <c r="J93" s="11"/>
      <c r="K93"/>
      <c r="S93"/>
    </row>
    <row r="94" spans="1:19" ht="15" customHeight="1" x14ac:dyDescent="0.35">
      <c r="A94"/>
      <c r="B94" t="s">
        <v>586</v>
      </c>
      <c r="C94" t="str">
        <f>INDEX(Taulukko25[Seura],MATCH(B94,Taulukko25[Nimi],0))</f>
        <v>VlkMTB</v>
      </c>
      <c r="D94">
        <v>17</v>
      </c>
      <c r="E94">
        <v>20</v>
      </c>
      <c r="F94">
        <v>10</v>
      </c>
      <c r="G94">
        <v>17</v>
      </c>
      <c r="H94">
        <v>6</v>
      </c>
      <c r="I94">
        <v>17</v>
      </c>
      <c r="J94" s="2">
        <v>87</v>
      </c>
      <c r="K94"/>
      <c r="S94"/>
    </row>
    <row r="95" spans="1:19" ht="15" customHeight="1" x14ac:dyDescent="0.35">
      <c r="A95"/>
      <c r="B95" t="s">
        <v>585</v>
      </c>
      <c r="C95" t="str">
        <f>INDEX(Taulukko25[Seura],MATCH(B95,Taulukko25[Nimi],0))</f>
        <v>Larsmo IF</v>
      </c>
      <c r="E95"/>
      <c r="F95"/>
      <c r="G95">
        <v>20</v>
      </c>
      <c r="H95">
        <v>10</v>
      </c>
      <c r="I95">
        <v>15</v>
      </c>
      <c r="J95" s="2">
        <v>45</v>
      </c>
      <c r="K95"/>
      <c r="S95"/>
    </row>
    <row r="96" spans="1:19" ht="15" customHeight="1" x14ac:dyDescent="0.35">
      <c r="A96"/>
      <c r="B96" t="s">
        <v>633</v>
      </c>
      <c r="C96" t="str">
        <f>INDEX(Taulukko25[Seura],MATCH(B96,Taulukko25[Nimi],0))</f>
        <v>CC Ilves</v>
      </c>
      <c r="D96">
        <v>15</v>
      </c>
      <c r="E96"/>
      <c r="F96"/>
      <c r="G96"/>
      <c r="I96">
        <v>11</v>
      </c>
      <c r="J96" s="2">
        <v>26</v>
      </c>
      <c r="K96"/>
      <c r="S96"/>
    </row>
    <row r="97" spans="1:19" ht="15" customHeight="1" x14ac:dyDescent="0.35">
      <c r="A97"/>
      <c r="B97" t="s">
        <v>599</v>
      </c>
      <c r="C97" t="str">
        <f>INDEX(Taulukko25[Seura],MATCH(B97,Taulukko25[Nimi],0))</f>
        <v>CCH</v>
      </c>
      <c r="D97">
        <v>13</v>
      </c>
      <c r="E97"/>
      <c r="F97"/>
      <c r="G97"/>
      <c r="I97">
        <v>13</v>
      </c>
      <c r="J97" s="2">
        <v>26</v>
      </c>
      <c r="K97"/>
      <c r="S97"/>
    </row>
    <row r="98" spans="1:19" ht="15" customHeight="1" x14ac:dyDescent="0.35">
      <c r="A98"/>
      <c r="B98" t="s">
        <v>601</v>
      </c>
      <c r="C98" t="str">
        <f>INDEX(Taulukko25[Seura],MATCH(B98,Taulukko25[Nimi],0))</f>
        <v>CCH</v>
      </c>
      <c r="E98"/>
      <c r="F98"/>
      <c r="G98"/>
      <c r="I98">
        <v>20</v>
      </c>
      <c r="J98" s="2">
        <v>20</v>
      </c>
      <c r="K98"/>
      <c r="S98"/>
    </row>
    <row r="99" spans="1:19" ht="15" customHeight="1" x14ac:dyDescent="0.35">
      <c r="A99"/>
      <c r="B99" t="s">
        <v>632</v>
      </c>
      <c r="C99" t="str">
        <f>INDEX(Taulukko25[Seura],MATCH(B99,Taulukko25[Nimi],0))</f>
        <v>VlkMTB</v>
      </c>
      <c r="D99">
        <v>20</v>
      </c>
      <c r="E99"/>
      <c r="F99"/>
      <c r="G99"/>
      <c r="J99" s="2">
        <v>20</v>
      </c>
      <c r="K99"/>
      <c r="S99"/>
    </row>
    <row r="100" spans="1:19" ht="15" customHeight="1" x14ac:dyDescent="0.35">
      <c r="A100"/>
      <c r="B100" t="s">
        <v>678</v>
      </c>
      <c r="C100" t="str">
        <f>INDEX(Taulukko25[Seura],MATCH(B100,Taulukko25[Nimi],0))</f>
        <v>TVC</v>
      </c>
      <c r="E100"/>
      <c r="F100"/>
      <c r="G100"/>
      <c r="H100">
        <v>4</v>
      </c>
      <c r="I100">
        <v>10</v>
      </c>
      <c r="J100" s="2">
        <v>14</v>
      </c>
      <c r="K100"/>
      <c r="S100"/>
    </row>
    <row r="101" spans="1:19" ht="15" customHeight="1" x14ac:dyDescent="0.35">
      <c r="A101"/>
      <c r="B101" t="s">
        <v>597</v>
      </c>
      <c r="C101" t="str">
        <f>INDEX(Taulukko25[Seura],MATCH(B101,Taulukko25[Nimi],0))</f>
        <v>LaPy</v>
      </c>
      <c r="E101"/>
      <c r="F101"/>
      <c r="G101"/>
      <c r="H101">
        <v>8</v>
      </c>
      <c r="J101" s="2">
        <v>8</v>
      </c>
      <c r="K101"/>
      <c r="S101"/>
    </row>
    <row r="102" spans="1:19" ht="15" customHeight="1" x14ac:dyDescent="0.35">
      <c r="A102"/>
      <c r="B102" t="s">
        <v>587</v>
      </c>
      <c r="C102" t="str">
        <f>INDEX(Taulukko25[Seura],MATCH(B102,Taulukko25[Nimi],0))</f>
        <v>JoensPy</v>
      </c>
      <c r="E102"/>
      <c r="F102"/>
      <c r="G102"/>
      <c r="H102">
        <v>5</v>
      </c>
      <c r="J102" s="2">
        <v>5</v>
      </c>
      <c r="K102"/>
      <c r="S102"/>
    </row>
    <row r="103" spans="1:19" ht="15" customHeight="1" x14ac:dyDescent="0.35">
      <c r="A103" s="11" t="s">
        <v>661</v>
      </c>
      <c r="B103" s="11"/>
      <c r="C103"/>
      <c r="D103" s="11"/>
      <c r="E103" s="11"/>
      <c r="F103" s="11"/>
      <c r="G103" s="11"/>
      <c r="H103" s="11"/>
      <c r="I103" s="11"/>
      <c r="J103" s="11"/>
      <c r="K103"/>
      <c r="S103"/>
    </row>
    <row r="104" spans="1:19" ht="15" customHeight="1" x14ac:dyDescent="0.35">
      <c r="A104"/>
      <c r="B104" t="s">
        <v>671</v>
      </c>
      <c r="C104" t="str">
        <f>INDEX(Taulukko25[Seura],MATCH(B104,Taulukko25[Nimi],0))</f>
        <v>PVCC</v>
      </c>
      <c r="E104"/>
      <c r="F104"/>
      <c r="G104"/>
      <c r="I104">
        <v>20</v>
      </c>
      <c r="J104" s="2">
        <v>20</v>
      </c>
      <c r="K104"/>
      <c r="S104"/>
    </row>
    <row r="105" spans="1:19" ht="15" customHeight="1" x14ac:dyDescent="0.35">
      <c r="A105"/>
      <c r="B105" t="s">
        <v>662</v>
      </c>
      <c r="C105" t="str">
        <f>INDEX(Taulukko25[Seura],MATCH(B105,Taulukko25[Nimi],0))</f>
        <v>JäPy</v>
      </c>
      <c r="E105"/>
      <c r="F105"/>
      <c r="G105"/>
      <c r="H105">
        <v>10</v>
      </c>
      <c r="J105" s="2">
        <v>10</v>
      </c>
      <c r="K105"/>
      <c r="S105"/>
    </row>
    <row r="106" spans="1:19" ht="15" customHeight="1" x14ac:dyDescent="0.35">
      <c r="A106" s="11" t="s">
        <v>672</v>
      </c>
      <c r="B106" s="11"/>
      <c r="C106"/>
      <c r="D106" s="11"/>
      <c r="E106" s="11"/>
      <c r="F106" s="11"/>
      <c r="G106" s="11"/>
      <c r="H106" s="11"/>
      <c r="I106" s="11"/>
      <c r="J106" s="11"/>
      <c r="K106"/>
      <c r="S106"/>
    </row>
    <row r="107" spans="1:19" ht="15" customHeight="1" x14ac:dyDescent="0.35">
      <c r="A107"/>
      <c r="B107" t="s">
        <v>673</v>
      </c>
      <c r="C107" t="str">
        <f>INDEX(Taulukko25[Seura],MATCH(B107,Taulukko25[Nimi],0))</f>
        <v>KangKi</v>
      </c>
      <c r="E107"/>
      <c r="F107"/>
      <c r="G107"/>
      <c r="I107">
        <v>20</v>
      </c>
      <c r="J107" s="2">
        <v>20</v>
      </c>
      <c r="K107"/>
      <c r="S107"/>
    </row>
    <row r="108" spans="1:19" ht="15" customHeight="1" x14ac:dyDescent="0.35">
      <c r="A108"/>
      <c r="C108"/>
      <c r="E108"/>
      <c r="F108"/>
      <c r="G108"/>
      <c r="J108"/>
      <c r="K108"/>
      <c r="S108"/>
    </row>
    <row r="109" spans="1:19" ht="15" customHeight="1" x14ac:dyDescent="0.35">
      <c r="A109"/>
      <c r="C109"/>
      <c r="E109"/>
      <c r="F109"/>
      <c r="G109"/>
      <c r="J109"/>
      <c r="K109"/>
      <c r="S109"/>
    </row>
    <row r="110" spans="1:19" ht="15" customHeight="1" x14ac:dyDescent="0.35">
      <c r="A110"/>
      <c r="C110"/>
      <c r="E110"/>
      <c r="F110"/>
      <c r="G110"/>
      <c r="J110"/>
      <c r="K110"/>
      <c r="S110"/>
    </row>
    <row r="111" spans="1:19" ht="15" customHeight="1" x14ac:dyDescent="0.35">
      <c r="A111"/>
      <c r="C111"/>
      <c r="E111"/>
      <c r="F111"/>
      <c r="G111"/>
      <c r="J111"/>
      <c r="K111"/>
      <c r="S111"/>
    </row>
    <row r="112" spans="1:19" ht="15" customHeight="1" x14ac:dyDescent="0.35">
      <c r="A112"/>
      <c r="C112"/>
      <c r="E112"/>
      <c r="F112"/>
      <c r="G112"/>
      <c r="J112"/>
      <c r="K112"/>
      <c r="S112"/>
    </row>
    <row r="113" customFormat="1" ht="15" customHeight="1" x14ac:dyDescent="0.35"/>
    <row r="114" customFormat="1" ht="15" customHeight="1" x14ac:dyDescent="0.35"/>
    <row r="115" customFormat="1" ht="15" customHeight="1" x14ac:dyDescent="0.35"/>
    <row r="116" customFormat="1" ht="15" customHeight="1" x14ac:dyDescent="0.35"/>
    <row r="117" customFormat="1" ht="15" customHeight="1" x14ac:dyDescent="0.35"/>
    <row r="118" customFormat="1" ht="15" customHeight="1" x14ac:dyDescent="0.35"/>
    <row r="119" customFormat="1" ht="15" customHeight="1" x14ac:dyDescent="0.35"/>
    <row r="120" customFormat="1" ht="15" customHeight="1" x14ac:dyDescent="0.35"/>
    <row r="121" customFormat="1" ht="15" customHeight="1" x14ac:dyDescent="0.35"/>
    <row r="122" customFormat="1" ht="15" customHeight="1" x14ac:dyDescent="0.35"/>
    <row r="123" customFormat="1" ht="15" customHeight="1" x14ac:dyDescent="0.35"/>
    <row r="124" customFormat="1" ht="15" customHeight="1" x14ac:dyDescent="0.35"/>
    <row r="125" customFormat="1" ht="15" customHeight="1" x14ac:dyDescent="0.35"/>
    <row r="126" customFormat="1" ht="15" customHeight="1" x14ac:dyDescent="0.35"/>
    <row r="127" customFormat="1" ht="15" customHeight="1" x14ac:dyDescent="0.35"/>
    <row r="128" customFormat="1" ht="15" customHeight="1" x14ac:dyDescent="0.35"/>
    <row r="129" customFormat="1" ht="15" customHeight="1" x14ac:dyDescent="0.35"/>
    <row r="130" customFormat="1" ht="15" customHeight="1" x14ac:dyDescent="0.35"/>
    <row r="131" customFormat="1" ht="15" customHeight="1" x14ac:dyDescent="0.35"/>
    <row r="132" customFormat="1" ht="15" customHeight="1" x14ac:dyDescent="0.35"/>
    <row r="133" customFormat="1" ht="15" customHeight="1" x14ac:dyDescent="0.35"/>
    <row r="134" customFormat="1" ht="15" customHeight="1" x14ac:dyDescent="0.35"/>
    <row r="135" customFormat="1" ht="15" customHeight="1" x14ac:dyDescent="0.35"/>
    <row r="136" customFormat="1" ht="15" customHeight="1" x14ac:dyDescent="0.35"/>
    <row r="137" customFormat="1" ht="15" customHeight="1" x14ac:dyDescent="0.35"/>
    <row r="138" customFormat="1" ht="15" customHeight="1" x14ac:dyDescent="0.35"/>
    <row r="139" customFormat="1" ht="15" customHeight="1" x14ac:dyDescent="0.35"/>
    <row r="140" customFormat="1" ht="15" customHeight="1" x14ac:dyDescent="0.35"/>
    <row r="141" customFormat="1" ht="15" customHeight="1" x14ac:dyDescent="0.35"/>
    <row r="142" customFormat="1" ht="15" customHeight="1" x14ac:dyDescent="0.35"/>
    <row r="143" customFormat="1" ht="15" customHeight="1" x14ac:dyDescent="0.35"/>
    <row r="144" customFormat="1" ht="15" customHeight="1" x14ac:dyDescent="0.35"/>
    <row r="145" customFormat="1" ht="15" customHeight="1" x14ac:dyDescent="0.35"/>
    <row r="146" customFormat="1" ht="15" customHeight="1" x14ac:dyDescent="0.35"/>
    <row r="147" customFormat="1" ht="15" customHeight="1" x14ac:dyDescent="0.35"/>
    <row r="148" customFormat="1" ht="15" customHeight="1" x14ac:dyDescent="0.35"/>
    <row r="149" customFormat="1" ht="15" customHeight="1" x14ac:dyDescent="0.35"/>
    <row r="150" customFormat="1" ht="15" customHeight="1" x14ac:dyDescent="0.35"/>
    <row r="151" customFormat="1" ht="15" customHeight="1" x14ac:dyDescent="0.35"/>
    <row r="152" customFormat="1" ht="15" customHeight="1" x14ac:dyDescent="0.35"/>
    <row r="153" customFormat="1" ht="15" customHeight="1" x14ac:dyDescent="0.35"/>
    <row r="154" customFormat="1" ht="15" customHeight="1" x14ac:dyDescent="0.35"/>
    <row r="155" customFormat="1" ht="15" customHeight="1" x14ac:dyDescent="0.35"/>
    <row r="156" customFormat="1" ht="15" customHeight="1" x14ac:dyDescent="0.35"/>
    <row r="157" customFormat="1" ht="15" customHeight="1" x14ac:dyDescent="0.35"/>
    <row r="158" customFormat="1" ht="15" customHeight="1" x14ac:dyDescent="0.35"/>
    <row r="159" customFormat="1" ht="15" customHeight="1" x14ac:dyDescent="0.35"/>
    <row r="160" customFormat="1" ht="15" customHeight="1" x14ac:dyDescent="0.35"/>
    <row r="161" customFormat="1" ht="15" customHeight="1" x14ac:dyDescent="0.35"/>
    <row r="162" customFormat="1" ht="15" customHeight="1" x14ac:dyDescent="0.35"/>
    <row r="163" customFormat="1" ht="15" customHeight="1" x14ac:dyDescent="0.35"/>
    <row r="164" customFormat="1" ht="15" customHeight="1" x14ac:dyDescent="0.35"/>
    <row r="165" customFormat="1" ht="15" customHeight="1" x14ac:dyDescent="0.35"/>
    <row r="166" customFormat="1" ht="15" customHeight="1" x14ac:dyDescent="0.35"/>
    <row r="167" customFormat="1" ht="15" customHeight="1" x14ac:dyDescent="0.35"/>
    <row r="168" customFormat="1" ht="15" customHeight="1" x14ac:dyDescent="0.35"/>
    <row r="169" customFormat="1" ht="15" customHeight="1" x14ac:dyDescent="0.35"/>
    <row r="170" customFormat="1" ht="15" customHeight="1" x14ac:dyDescent="0.35"/>
    <row r="171" customFormat="1" ht="15" customHeight="1" x14ac:dyDescent="0.35"/>
    <row r="172" customFormat="1" ht="15" customHeight="1" x14ac:dyDescent="0.35"/>
    <row r="173" customFormat="1" ht="15" customHeight="1" x14ac:dyDescent="0.35"/>
    <row r="174" customFormat="1" ht="15" customHeight="1" x14ac:dyDescent="0.35"/>
    <row r="175" customFormat="1" ht="15" customHeight="1" x14ac:dyDescent="0.35"/>
    <row r="176" customFormat="1" ht="15" customHeight="1" x14ac:dyDescent="0.35"/>
    <row r="177" customFormat="1" ht="15" customHeight="1" x14ac:dyDescent="0.35"/>
    <row r="178" customFormat="1" ht="15" customHeight="1" x14ac:dyDescent="0.35"/>
    <row r="179" customFormat="1" ht="15" customHeight="1" x14ac:dyDescent="0.35"/>
    <row r="180" customFormat="1" ht="15" customHeight="1" x14ac:dyDescent="0.35"/>
    <row r="181" customFormat="1" ht="15" customHeight="1" x14ac:dyDescent="0.35"/>
    <row r="182" customFormat="1" ht="15" customHeight="1" x14ac:dyDescent="0.35"/>
    <row r="183" customFormat="1" ht="15" customHeight="1" x14ac:dyDescent="0.35"/>
    <row r="184" customFormat="1" ht="15" customHeight="1" x14ac:dyDescent="0.35"/>
    <row r="185" customFormat="1" ht="15" customHeight="1" x14ac:dyDescent="0.35"/>
    <row r="186" customFormat="1" ht="15" customHeight="1" x14ac:dyDescent="0.35"/>
    <row r="187" customFormat="1" ht="15" customHeight="1" x14ac:dyDescent="0.35"/>
    <row r="188" customFormat="1" ht="15" customHeight="1" x14ac:dyDescent="0.35"/>
    <row r="189" customFormat="1" ht="15" customHeight="1" x14ac:dyDescent="0.35"/>
    <row r="190" customFormat="1" ht="15" customHeight="1" x14ac:dyDescent="0.35"/>
    <row r="191" customFormat="1" ht="15" customHeight="1" x14ac:dyDescent="0.35"/>
    <row r="192" customFormat="1" ht="15" customHeight="1" x14ac:dyDescent="0.35"/>
    <row r="193" customFormat="1" ht="15" customHeight="1" x14ac:dyDescent="0.35"/>
    <row r="194" customFormat="1" ht="15" customHeight="1" x14ac:dyDescent="0.35"/>
    <row r="195" customFormat="1" ht="15" customHeight="1" x14ac:dyDescent="0.35"/>
    <row r="196" customFormat="1" ht="15" customHeight="1" x14ac:dyDescent="0.35"/>
    <row r="197" customFormat="1" ht="15" customHeight="1" x14ac:dyDescent="0.35"/>
    <row r="198" customFormat="1" ht="15" customHeight="1" x14ac:dyDescent="0.35"/>
    <row r="199" customFormat="1" ht="15" customHeight="1" x14ac:dyDescent="0.35"/>
    <row r="200" customFormat="1" ht="15" customHeight="1" x14ac:dyDescent="0.35"/>
    <row r="201" customFormat="1" ht="15" customHeight="1" x14ac:dyDescent="0.35"/>
    <row r="202" customFormat="1" ht="15" customHeight="1" x14ac:dyDescent="0.35"/>
    <row r="203" customFormat="1" ht="15" customHeight="1" x14ac:dyDescent="0.35"/>
    <row r="204" customFormat="1" ht="15" customHeight="1" x14ac:dyDescent="0.35"/>
    <row r="205" customFormat="1" ht="15" customHeight="1" x14ac:dyDescent="0.35"/>
    <row r="206" customFormat="1" ht="15" customHeight="1" x14ac:dyDescent="0.35"/>
    <row r="207" customFormat="1" ht="15" customHeight="1" x14ac:dyDescent="0.35"/>
    <row r="208" customFormat="1" ht="15" customHeight="1" x14ac:dyDescent="0.35"/>
    <row r="209" customFormat="1" ht="15" customHeight="1" x14ac:dyDescent="0.35"/>
    <row r="210" customFormat="1" ht="15" customHeight="1" x14ac:dyDescent="0.35"/>
    <row r="211" customFormat="1" ht="15" customHeight="1" x14ac:dyDescent="0.35"/>
    <row r="212" customFormat="1" ht="15" customHeight="1" x14ac:dyDescent="0.35"/>
    <row r="213" customFormat="1" ht="15" customHeight="1" x14ac:dyDescent="0.35"/>
    <row r="214" customFormat="1" ht="15" customHeight="1" x14ac:dyDescent="0.35"/>
    <row r="215" customFormat="1" ht="15" customHeight="1" x14ac:dyDescent="0.35"/>
    <row r="216" customFormat="1" ht="15" customHeight="1" x14ac:dyDescent="0.35"/>
    <row r="217" customFormat="1" ht="15" customHeight="1" x14ac:dyDescent="0.35"/>
    <row r="218" customFormat="1" ht="15" customHeight="1" x14ac:dyDescent="0.35"/>
    <row r="219" customFormat="1" ht="15" customHeight="1" x14ac:dyDescent="0.35"/>
    <row r="220" customFormat="1" ht="15" customHeight="1" x14ac:dyDescent="0.35"/>
    <row r="221" customFormat="1" ht="15" customHeight="1" x14ac:dyDescent="0.35"/>
    <row r="222" customFormat="1" ht="15" customHeight="1" x14ac:dyDescent="0.35"/>
    <row r="223" customFormat="1" ht="15" customHeight="1" x14ac:dyDescent="0.35"/>
    <row r="224" customFormat="1" ht="15" customHeight="1" x14ac:dyDescent="0.35"/>
    <row r="225" customFormat="1" ht="15" customHeight="1" x14ac:dyDescent="0.35"/>
    <row r="226" customFormat="1" ht="15" customHeight="1" x14ac:dyDescent="0.35"/>
    <row r="227" customFormat="1" ht="15" customHeight="1" x14ac:dyDescent="0.35"/>
    <row r="228" customFormat="1" ht="15" customHeight="1" x14ac:dyDescent="0.35"/>
    <row r="229" customFormat="1" ht="15" customHeight="1" x14ac:dyDescent="0.35"/>
    <row r="230" customFormat="1" ht="15" customHeight="1" x14ac:dyDescent="0.35"/>
    <row r="231" customFormat="1" ht="15" customHeight="1" x14ac:dyDescent="0.35"/>
    <row r="232" customFormat="1" ht="15" customHeight="1" x14ac:dyDescent="0.35"/>
    <row r="233" customFormat="1" ht="15" customHeight="1" x14ac:dyDescent="0.35"/>
    <row r="234" customFormat="1" ht="15" customHeight="1" x14ac:dyDescent="0.35"/>
    <row r="235" customFormat="1" ht="15" customHeight="1" x14ac:dyDescent="0.35"/>
    <row r="236" customFormat="1" ht="15" customHeight="1" x14ac:dyDescent="0.35"/>
    <row r="237" customFormat="1" ht="15" customHeight="1" x14ac:dyDescent="0.35"/>
    <row r="238" customFormat="1" ht="15" customHeight="1" x14ac:dyDescent="0.35"/>
    <row r="239" customFormat="1" ht="15" customHeight="1" x14ac:dyDescent="0.35"/>
    <row r="240" customFormat="1" ht="15" customHeight="1" x14ac:dyDescent="0.35"/>
    <row r="241" customFormat="1" ht="15" customHeight="1" x14ac:dyDescent="0.35"/>
    <row r="242" customFormat="1" ht="15" customHeight="1" x14ac:dyDescent="0.35"/>
    <row r="243" customFormat="1" ht="15" customHeight="1" x14ac:dyDescent="0.35"/>
    <row r="244" customFormat="1" ht="15" customHeight="1" x14ac:dyDescent="0.35"/>
    <row r="245" customFormat="1" ht="15" customHeight="1" x14ac:dyDescent="0.35"/>
    <row r="246" customFormat="1" ht="15" customHeight="1" x14ac:dyDescent="0.35"/>
    <row r="247" customFormat="1" ht="15" customHeight="1" x14ac:dyDescent="0.35"/>
    <row r="248" customFormat="1" ht="15" customHeight="1" x14ac:dyDescent="0.35"/>
    <row r="249" customFormat="1" ht="15" customHeight="1" x14ac:dyDescent="0.35"/>
    <row r="250" customFormat="1" ht="15" customHeight="1" x14ac:dyDescent="0.35"/>
    <row r="251" customFormat="1" ht="15" customHeight="1" x14ac:dyDescent="0.35"/>
    <row r="252" customFormat="1" ht="15" customHeight="1" x14ac:dyDescent="0.35"/>
    <row r="253" customFormat="1" ht="15" customHeight="1" x14ac:dyDescent="0.35"/>
    <row r="254" customFormat="1" ht="15" customHeight="1" x14ac:dyDescent="0.35"/>
    <row r="255" customFormat="1" ht="15" customHeight="1" x14ac:dyDescent="0.35"/>
    <row r="256" customFormat="1" ht="15" customHeight="1" x14ac:dyDescent="0.35"/>
    <row r="257" customFormat="1" ht="15" customHeight="1" x14ac:dyDescent="0.35"/>
    <row r="258" customFormat="1" ht="15" customHeight="1" x14ac:dyDescent="0.35"/>
    <row r="259" customFormat="1" ht="15" customHeight="1" x14ac:dyDescent="0.35"/>
    <row r="260" customFormat="1" ht="15" customHeight="1" x14ac:dyDescent="0.35"/>
    <row r="261" customFormat="1" ht="15" customHeight="1" x14ac:dyDescent="0.35"/>
    <row r="262" customFormat="1" ht="15" customHeight="1" x14ac:dyDescent="0.35"/>
    <row r="263" customFormat="1" ht="15" customHeight="1" x14ac:dyDescent="0.35"/>
    <row r="264" customFormat="1" ht="15" customHeight="1" x14ac:dyDescent="0.35"/>
    <row r="265" customFormat="1" ht="15" customHeight="1" x14ac:dyDescent="0.35"/>
    <row r="266" customFormat="1" ht="15" customHeight="1" x14ac:dyDescent="0.35"/>
    <row r="267" customFormat="1" ht="15" customHeight="1" x14ac:dyDescent="0.35"/>
    <row r="268" customFormat="1" ht="15" customHeight="1" x14ac:dyDescent="0.35"/>
    <row r="269" customFormat="1" ht="15" customHeight="1" x14ac:dyDescent="0.35"/>
    <row r="270" customFormat="1" ht="15" customHeight="1" x14ac:dyDescent="0.35"/>
    <row r="271" customFormat="1" ht="15" customHeight="1" x14ac:dyDescent="0.35"/>
    <row r="272" customFormat="1" ht="15" customHeight="1" x14ac:dyDescent="0.35"/>
    <row r="273" customFormat="1" ht="15" customHeight="1" x14ac:dyDescent="0.35"/>
    <row r="274" customFormat="1" ht="15" customHeight="1" x14ac:dyDescent="0.35"/>
    <row r="275" customFormat="1" ht="15" customHeight="1" x14ac:dyDescent="0.35"/>
    <row r="276" customFormat="1" ht="15" customHeight="1" x14ac:dyDescent="0.35"/>
    <row r="277" customFormat="1" ht="15" customHeight="1" x14ac:dyDescent="0.35"/>
    <row r="278" customFormat="1" ht="15" customHeight="1" x14ac:dyDescent="0.35"/>
    <row r="279" customFormat="1" ht="15" customHeight="1" x14ac:dyDescent="0.35"/>
    <row r="280" customFormat="1" ht="15" customHeight="1" x14ac:dyDescent="0.35"/>
    <row r="281" customFormat="1" ht="15" customHeight="1" x14ac:dyDescent="0.35"/>
    <row r="282" customFormat="1" ht="15" customHeight="1" x14ac:dyDescent="0.35"/>
    <row r="283" customFormat="1" ht="15" customHeight="1" x14ac:dyDescent="0.35"/>
    <row r="284" customFormat="1" ht="15" customHeight="1" x14ac:dyDescent="0.35"/>
    <row r="285" customFormat="1" ht="15" customHeight="1" x14ac:dyDescent="0.35"/>
    <row r="286" customFormat="1" ht="15" customHeight="1" x14ac:dyDescent="0.35"/>
    <row r="287" customFormat="1" ht="15" customHeight="1" x14ac:dyDescent="0.35"/>
    <row r="288" customFormat="1" ht="15" customHeight="1" x14ac:dyDescent="0.35"/>
    <row r="289" customFormat="1" ht="15" customHeight="1" x14ac:dyDescent="0.35"/>
    <row r="290" customFormat="1" ht="15" customHeight="1" x14ac:dyDescent="0.35"/>
    <row r="291" customFormat="1" ht="15" customHeight="1" x14ac:dyDescent="0.35"/>
    <row r="292" customFormat="1" ht="15" customHeight="1" x14ac:dyDescent="0.35"/>
    <row r="293" customFormat="1" ht="15" customHeight="1" x14ac:dyDescent="0.35"/>
    <row r="294" customFormat="1" ht="15" customHeight="1" x14ac:dyDescent="0.35"/>
    <row r="295" customFormat="1" ht="15" customHeight="1" x14ac:dyDescent="0.35"/>
    <row r="296" customFormat="1" ht="15" customHeight="1" x14ac:dyDescent="0.35"/>
    <row r="297" customFormat="1" ht="15" customHeight="1" x14ac:dyDescent="0.35"/>
    <row r="298" customFormat="1" ht="15" customHeight="1" x14ac:dyDescent="0.35"/>
    <row r="299" customFormat="1" ht="15" customHeight="1" x14ac:dyDescent="0.35"/>
    <row r="300" customFormat="1" ht="15" customHeight="1" x14ac:dyDescent="0.35"/>
    <row r="301" customFormat="1" ht="15" customHeight="1" x14ac:dyDescent="0.35"/>
    <row r="302" customFormat="1" ht="15" customHeight="1" x14ac:dyDescent="0.35"/>
    <row r="303" customFormat="1" ht="15" customHeight="1" x14ac:dyDescent="0.35"/>
    <row r="304" customFormat="1" ht="15" customHeight="1" x14ac:dyDescent="0.35"/>
    <row r="305" customFormat="1" ht="15" customHeight="1" x14ac:dyDescent="0.35"/>
    <row r="306" customFormat="1" ht="15" customHeight="1" x14ac:dyDescent="0.35"/>
    <row r="307" customFormat="1" ht="15" customHeight="1" x14ac:dyDescent="0.35"/>
    <row r="308" customFormat="1" ht="15" customHeight="1" x14ac:dyDescent="0.35"/>
    <row r="309" customFormat="1" ht="15" customHeight="1" x14ac:dyDescent="0.35"/>
    <row r="310" customFormat="1" ht="15" customHeight="1" x14ac:dyDescent="0.35"/>
    <row r="311" customFormat="1" ht="15" customHeight="1" x14ac:dyDescent="0.35"/>
    <row r="312" customFormat="1" ht="15" customHeight="1" x14ac:dyDescent="0.35"/>
    <row r="313" customFormat="1" ht="15" customHeight="1" x14ac:dyDescent="0.35"/>
    <row r="314" customFormat="1" ht="15" customHeight="1" x14ac:dyDescent="0.35"/>
    <row r="315" customFormat="1" ht="15" customHeight="1" x14ac:dyDescent="0.35"/>
    <row r="316" customFormat="1" ht="15" customHeight="1" x14ac:dyDescent="0.35"/>
    <row r="317" customFormat="1" ht="15" customHeight="1" x14ac:dyDescent="0.35"/>
    <row r="318" customFormat="1" ht="15" customHeight="1" x14ac:dyDescent="0.35"/>
    <row r="319" customFormat="1" ht="15" customHeight="1" x14ac:dyDescent="0.35"/>
    <row r="320" customFormat="1" ht="15" customHeight="1" x14ac:dyDescent="0.35"/>
    <row r="321" customFormat="1" ht="15" customHeight="1" x14ac:dyDescent="0.35"/>
    <row r="322" customFormat="1" ht="15" customHeight="1" x14ac:dyDescent="0.35"/>
    <row r="323" customFormat="1" ht="15" customHeight="1" x14ac:dyDescent="0.35"/>
    <row r="324" customFormat="1" ht="15" customHeight="1" x14ac:dyDescent="0.35"/>
    <row r="325" customFormat="1" ht="15" customHeight="1" x14ac:dyDescent="0.35"/>
    <row r="326" customFormat="1" ht="15" customHeight="1" x14ac:dyDescent="0.35"/>
    <row r="327" customFormat="1" ht="15" customHeight="1" x14ac:dyDescent="0.35"/>
    <row r="328" customFormat="1" ht="15" customHeight="1" x14ac:dyDescent="0.35"/>
    <row r="329" customFormat="1" ht="15" customHeight="1" x14ac:dyDescent="0.35"/>
    <row r="330" customFormat="1" ht="15" customHeight="1" x14ac:dyDescent="0.35"/>
    <row r="331" customFormat="1" ht="15" customHeight="1" x14ac:dyDescent="0.35"/>
    <row r="332" customFormat="1" ht="15" customHeight="1" x14ac:dyDescent="0.35"/>
    <row r="333" customFormat="1" ht="15" customHeight="1" x14ac:dyDescent="0.35"/>
    <row r="334" customFormat="1" ht="15" customHeight="1" x14ac:dyDescent="0.35"/>
    <row r="335" customFormat="1" ht="15" customHeight="1" x14ac:dyDescent="0.35"/>
    <row r="336" customFormat="1" ht="15" customHeight="1" x14ac:dyDescent="0.35"/>
    <row r="337" spans="1:19" ht="15" customHeight="1" x14ac:dyDescent="0.35">
      <c r="A337"/>
      <c r="C337"/>
      <c r="E337"/>
      <c r="F337"/>
      <c r="G337"/>
      <c r="J337"/>
      <c r="K337"/>
      <c r="S337"/>
    </row>
    <row r="338" spans="1:19" ht="15" customHeight="1" x14ac:dyDescent="0.35">
      <c r="A338"/>
      <c r="C338"/>
      <c r="E338"/>
      <c r="F338"/>
      <c r="G338"/>
      <c r="J338"/>
      <c r="K338"/>
      <c r="S338"/>
    </row>
    <row r="339" spans="1:19" ht="15" customHeight="1" x14ac:dyDescent="0.35">
      <c r="A339"/>
      <c r="C339"/>
      <c r="E339"/>
      <c r="F339"/>
      <c r="G339"/>
      <c r="J339"/>
      <c r="K339"/>
      <c r="S339"/>
    </row>
    <row r="340" spans="1:19" ht="15" customHeight="1" x14ac:dyDescent="0.35">
      <c r="A340"/>
      <c r="C340"/>
      <c r="E340"/>
      <c r="F340"/>
      <c r="G340"/>
      <c r="J340"/>
      <c r="K340"/>
      <c r="S340"/>
    </row>
    <row r="341" spans="1:19" ht="15" customHeight="1" x14ac:dyDescent="0.35">
      <c r="A341"/>
      <c r="C341"/>
      <c r="E341"/>
      <c r="F341"/>
      <c r="G341"/>
      <c r="J341"/>
      <c r="K341"/>
      <c r="S341"/>
    </row>
    <row r="342" spans="1:19" ht="15" customHeight="1" x14ac:dyDescent="0.35">
      <c r="A342"/>
      <c r="C342"/>
      <c r="E342"/>
      <c r="F342"/>
      <c r="G342"/>
      <c r="J342"/>
      <c r="K342"/>
      <c r="S342"/>
    </row>
    <row r="343" spans="1:19" ht="15" customHeight="1" x14ac:dyDescent="0.35">
      <c r="A343"/>
      <c r="C343"/>
      <c r="E343"/>
      <c r="F343"/>
      <c r="G343"/>
      <c r="J343"/>
      <c r="K343"/>
      <c r="S343"/>
    </row>
    <row r="344" spans="1:19" ht="15" customHeight="1" x14ac:dyDescent="0.35">
      <c r="A344"/>
      <c r="C344"/>
      <c r="E344"/>
      <c r="F344"/>
      <c r="G344"/>
      <c r="J344"/>
      <c r="K344"/>
      <c r="S344"/>
    </row>
    <row r="345" spans="1:19" ht="15" customHeight="1" x14ac:dyDescent="0.35">
      <c r="A345"/>
      <c r="C345"/>
      <c r="E345"/>
      <c r="F345"/>
      <c r="G345"/>
      <c r="J345"/>
      <c r="K345"/>
      <c r="S345"/>
    </row>
    <row r="346" spans="1:19" ht="15" customHeight="1" x14ac:dyDescent="0.35">
      <c r="A346"/>
      <c r="C346"/>
      <c r="E346"/>
      <c r="F346"/>
      <c r="G346"/>
      <c r="J346"/>
      <c r="K346"/>
      <c r="S346"/>
    </row>
    <row r="347" spans="1:19" ht="15" customHeight="1" x14ac:dyDescent="0.35">
      <c r="A347"/>
      <c r="C347"/>
      <c r="E347"/>
      <c r="F347"/>
      <c r="G347"/>
      <c r="J347"/>
      <c r="K347"/>
      <c r="S347"/>
    </row>
    <row r="348" spans="1:19" ht="15" customHeight="1" x14ac:dyDescent="0.35">
      <c r="A348"/>
      <c r="C348"/>
      <c r="E348"/>
      <c r="F348"/>
      <c r="G348"/>
      <c r="J348"/>
      <c r="K348"/>
      <c r="S348"/>
    </row>
    <row r="349" spans="1:19" ht="15" customHeight="1" x14ac:dyDescent="0.35">
      <c r="A349"/>
      <c r="C349"/>
      <c r="E349"/>
      <c r="F349"/>
      <c r="G349"/>
      <c r="J349"/>
      <c r="K349"/>
      <c r="S349"/>
    </row>
    <row r="350" spans="1:19" ht="15" customHeight="1" x14ac:dyDescent="0.35">
      <c r="A350"/>
      <c r="C350"/>
      <c r="E350"/>
      <c r="F350"/>
      <c r="G350"/>
      <c r="J350"/>
      <c r="K350"/>
      <c r="S350"/>
    </row>
    <row r="351" spans="1:19" ht="15" customHeight="1" x14ac:dyDescent="0.35">
      <c r="A351"/>
      <c r="C351"/>
      <c r="K351"/>
      <c r="S351"/>
    </row>
    <row r="352" spans="1:19" ht="15" customHeight="1" x14ac:dyDescent="0.35"/>
    <row r="353" ht="15" customHeight="1" x14ac:dyDescent="0.35"/>
  </sheetData>
  <sortState xmlns:xlrd2="http://schemas.microsoft.com/office/spreadsheetml/2017/richdata2" ref="B68:R88">
    <sortCondition descending="1" ref="R68:R88"/>
  </sortState>
  <mergeCells count="4">
    <mergeCell ref="A1:F1"/>
    <mergeCell ref="A4:F4"/>
    <mergeCell ref="A3:F3"/>
    <mergeCell ref="A2:F2"/>
  </mergeCells>
  <phoneticPr fontId="1" type="noConversion"/>
  <hyperlinks>
    <hyperlink ref="A4" r:id="rId1" display="KK-CUP kilpailukalenteri ja säännöt" xr:uid="{E74A94F8-A3E9-4AA2-88CC-CA59B6213D36}"/>
    <hyperlink ref="A4:F4" r:id="rId2" display="XCO-CUP internet-sivusto" xr:uid="{26050571-7635-44A6-A8C6-C38CA3A0C317}"/>
    <hyperlink ref="B7" r:id="rId3" xr:uid="{90A10BE4-39DC-4714-A9BB-81D03A43AA27}"/>
    <hyperlink ref="B8" r:id="rId4" xr:uid="{8926F6AC-9494-44DE-89C2-7EB874EA5F26}"/>
    <hyperlink ref="B9" r:id="rId5" xr:uid="{634D6B51-B9E5-4D97-B1A2-F1B92F72D6F8}"/>
    <hyperlink ref="B10" r:id="rId6" xr:uid="{8946D583-308D-4D99-AEF0-025BA51AC2D6}"/>
    <hyperlink ref="B11" r:id="rId7" xr:uid="{D7573633-78EB-40D7-B0C3-01186C42E3D1}"/>
    <hyperlink ref="B12" r:id="rId8" xr:uid="{6258935F-4B56-4175-AEA3-6FEF7281B12A}"/>
  </hyperlinks>
  <pageMargins left="0.25" right="0.25" top="0.75" bottom="0.75" header="0.3" footer="0.3"/>
  <pageSetup paperSize="8" scale="74" fitToHeight="0" orientation="portrait" r:id="rId9"/>
  <drawing r:id="rId1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1BF73-DD02-49CC-A4CF-15015453C069}">
  <dimension ref="A3:B39"/>
  <sheetViews>
    <sheetView workbookViewId="0">
      <selection activeCell="A5" sqref="A5"/>
    </sheetView>
  </sheetViews>
  <sheetFormatPr defaultRowHeight="14.5" x14ac:dyDescent="0.35"/>
  <cols>
    <col min="1" max="1" width="21.453125" bestFit="1" customWidth="1"/>
    <col min="2" max="2" width="16.1796875" bestFit="1" customWidth="1"/>
    <col min="3" max="3" width="8.453125" bestFit="1" customWidth="1"/>
    <col min="4" max="4" width="7.54296875" bestFit="1" customWidth="1"/>
    <col min="5" max="5" width="4.81640625" bestFit="1" customWidth="1"/>
    <col min="6" max="6" width="15" bestFit="1" customWidth="1"/>
  </cols>
  <sheetData>
    <row r="3" spans="1:2" x14ac:dyDescent="0.35">
      <c r="A3" s="9" t="s">
        <v>501</v>
      </c>
      <c r="B3" s="5" t="s">
        <v>487</v>
      </c>
    </row>
    <row r="4" spans="1:2" x14ac:dyDescent="0.35">
      <c r="A4" s="1" t="s">
        <v>292</v>
      </c>
      <c r="B4">
        <v>275</v>
      </c>
    </row>
    <row r="5" spans="1:2" x14ac:dyDescent="0.35">
      <c r="A5" s="1" t="s">
        <v>263</v>
      </c>
      <c r="B5">
        <v>212</v>
      </c>
    </row>
    <row r="6" spans="1:2" x14ac:dyDescent="0.35">
      <c r="A6" s="1" t="s">
        <v>176</v>
      </c>
      <c r="B6">
        <v>199</v>
      </c>
    </row>
    <row r="7" spans="1:2" x14ac:dyDescent="0.35">
      <c r="A7" s="1" t="s">
        <v>281</v>
      </c>
      <c r="B7">
        <v>162</v>
      </c>
    </row>
    <row r="8" spans="1:2" x14ac:dyDescent="0.35">
      <c r="A8" s="1" t="s">
        <v>178</v>
      </c>
      <c r="B8">
        <v>134</v>
      </c>
    </row>
    <row r="9" spans="1:2" x14ac:dyDescent="0.35">
      <c r="A9" s="1" t="s">
        <v>310</v>
      </c>
      <c r="B9">
        <v>111</v>
      </c>
    </row>
    <row r="10" spans="1:2" x14ac:dyDescent="0.35">
      <c r="A10" s="1" t="s">
        <v>298</v>
      </c>
      <c r="B10">
        <v>110</v>
      </c>
    </row>
    <row r="11" spans="1:2" x14ac:dyDescent="0.35">
      <c r="A11" s="1" t="s">
        <v>271</v>
      </c>
      <c r="B11">
        <v>109</v>
      </c>
    </row>
    <row r="12" spans="1:2" x14ac:dyDescent="0.35">
      <c r="A12" s="1" t="s">
        <v>347</v>
      </c>
      <c r="B12">
        <v>107</v>
      </c>
    </row>
    <row r="13" spans="1:2" x14ac:dyDescent="0.35">
      <c r="A13" s="1" t="s">
        <v>265</v>
      </c>
      <c r="B13">
        <v>105</v>
      </c>
    </row>
    <row r="14" spans="1:2" x14ac:dyDescent="0.35">
      <c r="A14" s="1" t="s">
        <v>486</v>
      </c>
      <c r="B14">
        <v>93</v>
      </c>
    </row>
    <row r="15" spans="1:2" x14ac:dyDescent="0.35">
      <c r="A15" s="1" t="s">
        <v>350</v>
      </c>
      <c r="B15">
        <v>88</v>
      </c>
    </row>
    <row r="16" spans="1:2" x14ac:dyDescent="0.35">
      <c r="A16" s="1" t="s">
        <v>299</v>
      </c>
      <c r="B16">
        <v>87</v>
      </c>
    </row>
    <row r="17" spans="1:2" x14ac:dyDescent="0.35">
      <c r="A17" s="1" t="s">
        <v>407</v>
      </c>
      <c r="B17">
        <v>72</v>
      </c>
    </row>
    <row r="18" spans="1:2" x14ac:dyDescent="0.35">
      <c r="A18" s="1" t="s">
        <v>268</v>
      </c>
      <c r="B18">
        <v>65</v>
      </c>
    </row>
    <row r="19" spans="1:2" x14ac:dyDescent="0.35">
      <c r="A19" s="1" t="s">
        <v>380</v>
      </c>
      <c r="B19">
        <v>60</v>
      </c>
    </row>
    <row r="20" spans="1:2" x14ac:dyDescent="0.35">
      <c r="A20" s="1" t="s">
        <v>624</v>
      </c>
      <c r="B20">
        <v>50</v>
      </c>
    </row>
    <row r="21" spans="1:2" x14ac:dyDescent="0.35">
      <c r="A21" s="1" t="s">
        <v>168</v>
      </c>
      <c r="B21">
        <v>48</v>
      </c>
    </row>
    <row r="22" spans="1:2" x14ac:dyDescent="0.35">
      <c r="A22" s="1" t="s">
        <v>177</v>
      </c>
      <c r="B22">
        <v>46</v>
      </c>
    </row>
    <row r="23" spans="1:2" x14ac:dyDescent="0.35">
      <c r="A23" s="1">
        <v>0</v>
      </c>
      <c r="B23">
        <v>30</v>
      </c>
    </row>
    <row r="24" spans="1:2" x14ac:dyDescent="0.35">
      <c r="A24" s="1" t="s">
        <v>647</v>
      </c>
      <c r="B24">
        <v>30</v>
      </c>
    </row>
    <row r="25" spans="1:2" x14ac:dyDescent="0.35">
      <c r="A25" s="1" t="s">
        <v>260</v>
      </c>
      <c r="B25">
        <v>27</v>
      </c>
    </row>
    <row r="26" spans="1:2" x14ac:dyDescent="0.35">
      <c r="A26" s="1" t="s">
        <v>267</v>
      </c>
      <c r="B26">
        <v>25</v>
      </c>
    </row>
    <row r="27" spans="1:2" x14ac:dyDescent="0.35">
      <c r="A27" s="1" t="s">
        <v>469</v>
      </c>
      <c r="B27">
        <v>25</v>
      </c>
    </row>
    <row r="28" spans="1:2" x14ac:dyDescent="0.35">
      <c r="A28" s="1" t="s">
        <v>282</v>
      </c>
      <c r="B28">
        <v>25</v>
      </c>
    </row>
    <row r="29" spans="1:2" x14ac:dyDescent="0.35">
      <c r="A29" s="1" t="s">
        <v>313</v>
      </c>
      <c r="B29">
        <v>21</v>
      </c>
    </row>
    <row r="30" spans="1:2" x14ac:dyDescent="0.35">
      <c r="A30" s="1" t="s">
        <v>399</v>
      </c>
      <c r="B30">
        <v>20</v>
      </c>
    </row>
    <row r="31" spans="1:2" x14ac:dyDescent="0.35">
      <c r="A31" s="1" t="s">
        <v>681</v>
      </c>
      <c r="B31">
        <v>20</v>
      </c>
    </row>
    <row r="32" spans="1:2" x14ac:dyDescent="0.35">
      <c r="A32" s="1" t="s">
        <v>628</v>
      </c>
      <c r="B32">
        <v>15</v>
      </c>
    </row>
    <row r="33" spans="1:2" x14ac:dyDescent="0.35">
      <c r="A33" s="1" t="s">
        <v>648</v>
      </c>
      <c r="B33">
        <v>15</v>
      </c>
    </row>
    <row r="34" spans="1:2" x14ac:dyDescent="0.35">
      <c r="A34" s="1" t="s">
        <v>169</v>
      </c>
      <c r="B34">
        <v>12</v>
      </c>
    </row>
    <row r="35" spans="1:2" x14ac:dyDescent="0.35">
      <c r="A35" s="1" t="s">
        <v>261</v>
      </c>
      <c r="B35">
        <v>11</v>
      </c>
    </row>
    <row r="36" spans="1:2" x14ac:dyDescent="0.35">
      <c r="A36" s="1" t="s">
        <v>329</v>
      </c>
      <c r="B36">
        <v>8</v>
      </c>
    </row>
    <row r="37" spans="1:2" x14ac:dyDescent="0.35">
      <c r="A37" s="1" t="s">
        <v>680</v>
      </c>
      <c r="B37">
        <v>8</v>
      </c>
    </row>
    <row r="38" spans="1:2" x14ac:dyDescent="0.35">
      <c r="A38" s="1" t="s">
        <v>312</v>
      </c>
      <c r="B38">
        <v>5</v>
      </c>
    </row>
    <row r="39" spans="1:2" x14ac:dyDescent="0.35">
      <c r="A39" s="1" t="s">
        <v>488</v>
      </c>
      <c r="B39">
        <v>2430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0B2B4-CC4E-4E27-A3D3-63866B6EEEC0}">
  <dimension ref="A2:F185"/>
  <sheetViews>
    <sheetView tabSelected="1" workbookViewId="0">
      <selection activeCell="A21" sqref="A21"/>
    </sheetView>
  </sheetViews>
  <sheetFormatPr defaultRowHeight="14.5" x14ac:dyDescent="0.35"/>
  <cols>
    <col min="1" max="1" width="8.26953125" bestFit="1" customWidth="1"/>
    <col min="2" max="2" width="15.7265625" bestFit="1" customWidth="1"/>
    <col min="3" max="3" width="6.453125" bestFit="1" customWidth="1"/>
    <col min="4" max="4" width="3" bestFit="1" customWidth="1"/>
    <col min="5" max="5" width="24.54296875" bestFit="1" customWidth="1"/>
    <col min="6" max="6" width="9.54296875" bestFit="1" customWidth="1"/>
  </cols>
  <sheetData>
    <row r="2" spans="1:6" ht="15.5" x14ac:dyDescent="0.35">
      <c r="A2" s="12" t="s">
        <v>229</v>
      </c>
      <c r="B2" s="13" t="s">
        <v>515</v>
      </c>
      <c r="C2" s="14" t="s">
        <v>497</v>
      </c>
      <c r="D2" s="14">
        <v>1</v>
      </c>
      <c r="E2" s="15" t="s">
        <v>360</v>
      </c>
      <c r="F2" s="14" t="s">
        <v>361</v>
      </c>
    </row>
    <row r="3" spans="1:6" ht="15.5" x14ac:dyDescent="0.35">
      <c r="A3" s="16" t="s">
        <v>229</v>
      </c>
      <c r="B3" s="17" t="s">
        <v>515</v>
      </c>
      <c r="C3" s="18" t="s">
        <v>497</v>
      </c>
      <c r="D3" s="18">
        <v>2</v>
      </c>
      <c r="E3" s="19" t="s">
        <v>198</v>
      </c>
      <c r="F3" s="18" t="s">
        <v>271</v>
      </c>
    </row>
    <row r="4" spans="1:6" ht="15.5" x14ac:dyDescent="0.35">
      <c r="A4" s="12" t="s">
        <v>229</v>
      </c>
      <c r="B4" s="13" t="s">
        <v>515</v>
      </c>
      <c r="C4" s="14" t="s">
        <v>497</v>
      </c>
      <c r="D4" s="14">
        <v>3</v>
      </c>
      <c r="E4" s="15" t="s">
        <v>477</v>
      </c>
      <c r="F4" s="14" t="s">
        <v>179</v>
      </c>
    </row>
    <row r="5" spans="1:6" ht="15.5" x14ac:dyDescent="0.35">
      <c r="A5" s="16" t="s">
        <v>229</v>
      </c>
      <c r="B5" s="17" t="s">
        <v>515</v>
      </c>
      <c r="C5" s="18" t="s">
        <v>497</v>
      </c>
      <c r="D5" s="18">
        <v>4</v>
      </c>
      <c r="E5" s="19" t="s">
        <v>367</v>
      </c>
      <c r="F5" s="18" t="s">
        <v>295</v>
      </c>
    </row>
    <row r="6" spans="1:6" ht="15.5" x14ac:dyDescent="0.35">
      <c r="A6" s="12" t="s">
        <v>229</v>
      </c>
      <c r="B6" s="13" t="s">
        <v>515</v>
      </c>
      <c r="C6" s="14" t="s">
        <v>497</v>
      </c>
      <c r="D6" s="14">
        <v>5</v>
      </c>
      <c r="E6" s="15" t="s">
        <v>484</v>
      </c>
      <c r="F6" s="14" t="s">
        <v>179</v>
      </c>
    </row>
    <row r="7" spans="1:6" ht="15.5" x14ac:dyDescent="0.35">
      <c r="A7" s="16" t="s">
        <v>229</v>
      </c>
      <c r="B7" s="17" t="s">
        <v>515</v>
      </c>
      <c r="C7" s="18" t="s">
        <v>497</v>
      </c>
      <c r="D7" s="18">
        <v>6</v>
      </c>
      <c r="E7" s="19" t="s">
        <v>354</v>
      </c>
      <c r="F7" s="18" t="s">
        <v>169</v>
      </c>
    </row>
    <row r="8" spans="1:6" ht="15.5" x14ac:dyDescent="0.35">
      <c r="A8" s="12" t="s">
        <v>229</v>
      </c>
      <c r="B8" s="13" t="s">
        <v>515</v>
      </c>
      <c r="C8" s="14" t="s">
        <v>497</v>
      </c>
      <c r="D8" s="14">
        <v>7</v>
      </c>
      <c r="E8" s="15" t="s">
        <v>438</v>
      </c>
      <c r="F8" s="14" t="s">
        <v>179</v>
      </c>
    </row>
    <row r="9" spans="1:6" ht="15.5" x14ac:dyDescent="0.35">
      <c r="A9" s="16" t="s">
        <v>229</v>
      </c>
      <c r="B9" s="17" t="s">
        <v>515</v>
      </c>
      <c r="C9" s="18" t="s">
        <v>497</v>
      </c>
      <c r="D9" s="18">
        <v>8</v>
      </c>
      <c r="E9" s="19" t="s">
        <v>51</v>
      </c>
      <c r="F9" s="18" t="s">
        <v>295</v>
      </c>
    </row>
    <row r="10" spans="1:6" ht="15.5" x14ac:dyDescent="0.35">
      <c r="A10" s="12" t="s">
        <v>229</v>
      </c>
      <c r="B10" s="13" t="s">
        <v>515</v>
      </c>
      <c r="C10" s="14" t="s">
        <v>497</v>
      </c>
      <c r="D10" s="14">
        <v>9</v>
      </c>
      <c r="E10" s="15" t="s">
        <v>392</v>
      </c>
      <c r="F10" s="14" t="s">
        <v>271</v>
      </c>
    </row>
    <row r="11" spans="1:6" ht="15.5" x14ac:dyDescent="0.35">
      <c r="A11" s="16" t="s">
        <v>229</v>
      </c>
      <c r="B11" s="17" t="s">
        <v>515</v>
      </c>
      <c r="C11" s="18" t="s">
        <v>494</v>
      </c>
      <c r="D11" s="18">
        <v>1</v>
      </c>
      <c r="E11" s="19" t="s">
        <v>10</v>
      </c>
      <c r="F11" s="18" t="s">
        <v>169</v>
      </c>
    </row>
    <row r="12" spans="1:6" ht="15.5" x14ac:dyDescent="0.35">
      <c r="A12" s="12" t="s">
        <v>229</v>
      </c>
      <c r="B12" s="13" t="s">
        <v>515</v>
      </c>
      <c r="C12" s="14" t="s">
        <v>494</v>
      </c>
      <c r="D12" s="14">
        <v>2</v>
      </c>
      <c r="E12" s="15" t="s">
        <v>294</v>
      </c>
      <c r="F12" s="14" t="s">
        <v>295</v>
      </c>
    </row>
    <row r="13" spans="1:6" ht="15.5" x14ac:dyDescent="0.35">
      <c r="A13" s="16" t="s">
        <v>229</v>
      </c>
      <c r="B13" s="17" t="s">
        <v>515</v>
      </c>
      <c r="C13" s="18" t="s">
        <v>494</v>
      </c>
      <c r="D13" s="18">
        <v>3</v>
      </c>
      <c r="E13" s="19" t="s">
        <v>455</v>
      </c>
      <c r="F13" s="18" t="s">
        <v>260</v>
      </c>
    </row>
    <row r="14" spans="1:6" ht="15.5" x14ac:dyDescent="0.35">
      <c r="A14" s="12" t="s">
        <v>229</v>
      </c>
      <c r="B14" s="13" t="s">
        <v>515</v>
      </c>
      <c r="C14" s="14" t="s">
        <v>494</v>
      </c>
      <c r="D14" s="14">
        <v>4</v>
      </c>
      <c r="E14" s="15" t="s">
        <v>398</v>
      </c>
      <c r="F14" s="14" t="s">
        <v>399</v>
      </c>
    </row>
    <row r="15" spans="1:6" ht="15.5" x14ac:dyDescent="0.35">
      <c r="A15" s="16" t="s">
        <v>229</v>
      </c>
      <c r="B15" s="17" t="s">
        <v>515</v>
      </c>
      <c r="C15" s="18" t="s">
        <v>516</v>
      </c>
      <c r="D15" s="18">
        <v>1</v>
      </c>
      <c r="E15" s="19" t="s">
        <v>446</v>
      </c>
      <c r="F15" s="18" t="s">
        <v>260</v>
      </c>
    </row>
    <row r="16" spans="1:6" ht="15.5" x14ac:dyDescent="0.35">
      <c r="A16" s="12" t="s">
        <v>229</v>
      </c>
      <c r="B16" s="13" t="s">
        <v>515</v>
      </c>
      <c r="C16" s="14" t="s">
        <v>516</v>
      </c>
      <c r="D16" s="14">
        <v>2</v>
      </c>
      <c r="E16" s="15" t="s">
        <v>22</v>
      </c>
      <c r="F16" s="14" t="s">
        <v>169</v>
      </c>
    </row>
    <row r="17" spans="1:6" ht="15.5" x14ac:dyDescent="0.35">
      <c r="A17" s="16" t="s">
        <v>229</v>
      </c>
      <c r="B17" s="17" t="s">
        <v>515</v>
      </c>
      <c r="C17" s="18" t="s">
        <v>516</v>
      </c>
      <c r="D17" s="18">
        <v>3</v>
      </c>
      <c r="E17" s="19" t="s">
        <v>431</v>
      </c>
      <c r="F17" s="18" t="s">
        <v>179</v>
      </c>
    </row>
    <row r="18" spans="1:6" ht="15.5" x14ac:dyDescent="0.35">
      <c r="A18" s="12" t="s">
        <v>229</v>
      </c>
      <c r="B18" s="13" t="s">
        <v>515</v>
      </c>
      <c r="C18" s="14" t="s">
        <v>516</v>
      </c>
      <c r="D18" s="14">
        <v>4</v>
      </c>
      <c r="E18" s="15" t="s">
        <v>370</v>
      </c>
      <c r="F18" s="14" t="s">
        <v>260</v>
      </c>
    </row>
    <row r="19" spans="1:6" ht="15.5" x14ac:dyDescent="0.35">
      <c r="A19" s="16" t="s">
        <v>229</v>
      </c>
      <c r="B19" s="17" t="s">
        <v>515</v>
      </c>
      <c r="C19" s="18" t="s">
        <v>495</v>
      </c>
      <c r="D19" s="18">
        <v>1</v>
      </c>
      <c r="E19" s="19" t="s">
        <v>233</v>
      </c>
      <c r="F19" s="18" t="s">
        <v>260</v>
      </c>
    </row>
    <row r="20" spans="1:6" ht="15.5" x14ac:dyDescent="0.35">
      <c r="A20" s="12" t="s">
        <v>229</v>
      </c>
      <c r="B20" s="13" t="s">
        <v>515</v>
      </c>
      <c r="C20" s="14" t="s">
        <v>495</v>
      </c>
      <c r="D20" s="14">
        <v>2</v>
      </c>
      <c r="E20" s="15" t="s">
        <v>13</v>
      </c>
      <c r="F20" s="14" t="s">
        <v>260</v>
      </c>
    </row>
    <row r="21" spans="1:6" ht="15.5" x14ac:dyDescent="0.35">
      <c r="A21" s="16" t="s">
        <v>229</v>
      </c>
      <c r="B21" s="17" t="s">
        <v>515</v>
      </c>
      <c r="C21" s="18" t="s">
        <v>495</v>
      </c>
      <c r="D21" s="18">
        <v>3</v>
      </c>
      <c r="E21" s="19" t="s">
        <v>121</v>
      </c>
      <c r="F21" s="18" t="s">
        <v>295</v>
      </c>
    </row>
    <row r="22" spans="1:6" ht="15.5" x14ac:dyDescent="0.35">
      <c r="A22" s="12" t="s">
        <v>229</v>
      </c>
      <c r="B22" s="13" t="s">
        <v>515</v>
      </c>
      <c r="C22" s="14" t="s">
        <v>495</v>
      </c>
      <c r="D22" s="14">
        <v>4</v>
      </c>
      <c r="E22" s="15" t="s">
        <v>339</v>
      </c>
      <c r="F22" s="14" t="s">
        <v>298</v>
      </c>
    </row>
    <row r="23" spans="1:6" ht="15.5" x14ac:dyDescent="0.35">
      <c r="A23" s="16" t="s">
        <v>229</v>
      </c>
      <c r="B23" s="17" t="s">
        <v>515</v>
      </c>
      <c r="C23" s="18" t="s">
        <v>498</v>
      </c>
      <c r="D23" s="18">
        <v>1</v>
      </c>
      <c r="E23" s="19" t="s">
        <v>435</v>
      </c>
      <c r="F23" s="18" t="s">
        <v>271</v>
      </c>
    </row>
    <row r="24" spans="1:6" ht="15.5" x14ac:dyDescent="0.35">
      <c r="A24" s="12" t="s">
        <v>229</v>
      </c>
      <c r="B24" s="13" t="s">
        <v>515</v>
      </c>
      <c r="C24" s="14" t="s">
        <v>498</v>
      </c>
      <c r="D24" s="14">
        <v>2</v>
      </c>
      <c r="E24" s="15" t="s">
        <v>47</v>
      </c>
      <c r="F24" s="14" t="s">
        <v>177</v>
      </c>
    </row>
    <row r="25" spans="1:6" ht="15.5" x14ac:dyDescent="0.35">
      <c r="A25" s="16" t="s">
        <v>229</v>
      </c>
      <c r="B25" s="17" t="s">
        <v>515</v>
      </c>
      <c r="C25" s="18" t="s">
        <v>496</v>
      </c>
      <c r="D25" s="18">
        <v>1</v>
      </c>
      <c r="E25" s="19" t="s">
        <v>50</v>
      </c>
      <c r="F25" s="18" t="s">
        <v>179</v>
      </c>
    </row>
    <row r="26" spans="1:6" ht="15.5" x14ac:dyDescent="0.35">
      <c r="A26" s="12" t="s">
        <v>229</v>
      </c>
      <c r="B26" s="13" t="s">
        <v>515</v>
      </c>
      <c r="C26" s="14" t="s">
        <v>496</v>
      </c>
      <c r="D26" s="14">
        <v>2</v>
      </c>
      <c r="E26" s="15" t="s">
        <v>48</v>
      </c>
      <c r="F26" s="14" t="s">
        <v>260</v>
      </c>
    </row>
    <row r="27" spans="1:6" ht="15.5" x14ac:dyDescent="0.35">
      <c r="A27" s="16" t="s">
        <v>229</v>
      </c>
      <c r="B27" s="17" t="s">
        <v>515</v>
      </c>
      <c r="C27" s="18" t="s">
        <v>496</v>
      </c>
      <c r="D27" s="18">
        <v>3</v>
      </c>
      <c r="E27" s="19" t="s">
        <v>259</v>
      </c>
      <c r="F27" s="18" t="s">
        <v>260</v>
      </c>
    </row>
    <row r="28" spans="1:6" ht="15.5" x14ac:dyDescent="0.35">
      <c r="A28" s="12" t="s">
        <v>229</v>
      </c>
      <c r="B28" s="13" t="s">
        <v>515</v>
      </c>
      <c r="C28" s="14" t="s">
        <v>496</v>
      </c>
      <c r="D28" s="14">
        <v>4</v>
      </c>
      <c r="E28" s="15" t="s">
        <v>26</v>
      </c>
      <c r="F28" s="14" t="s">
        <v>271</v>
      </c>
    </row>
    <row r="29" spans="1:6" ht="15.5" x14ac:dyDescent="0.35">
      <c r="A29" s="16" t="s">
        <v>229</v>
      </c>
      <c r="B29" s="17" t="s">
        <v>515</v>
      </c>
      <c r="C29" s="18" t="s">
        <v>496</v>
      </c>
      <c r="D29" s="18">
        <v>5</v>
      </c>
      <c r="E29" s="19" t="s">
        <v>338</v>
      </c>
      <c r="F29" s="18" t="s">
        <v>295</v>
      </c>
    </row>
    <row r="30" spans="1:6" ht="15.5" x14ac:dyDescent="0.35">
      <c r="A30" s="12" t="s">
        <v>229</v>
      </c>
      <c r="B30" s="13" t="s">
        <v>515</v>
      </c>
      <c r="C30" s="14" t="s">
        <v>496</v>
      </c>
      <c r="D30" s="14">
        <v>6</v>
      </c>
      <c r="E30" s="15" t="s">
        <v>328</v>
      </c>
      <c r="F30" s="14" t="s">
        <v>298</v>
      </c>
    </row>
    <row r="31" spans="1:6" ht="15.5" x14ac:dyDescent="0.35">
      <c r="A31" s="16" t="s">
        <v>229</v>
      </c>
      <c r="B31" s="17" t="s">
        <v>515</v>
      </c>
      <c r="C31" s="18" t="s">
        <v>499</v>
      </c>
      <c r="D31" s="18">
        <v>1</v>
      </c>
      <c r="E31" s="19" t="s">
        <v>158</v>
      </c>
      <c r="F31" s="18" t="s">
        <v>177</v>
      </c>
    </row>
    <row r="32" spans="1:6" ht="15.5" x14ac:dyDescent="0.35">
      <c r="A32" s="12" t="s">
        <v>229</v>
      </c>
      <c r="B32" s="13" t="s">
        <v>515</v>
      </c>
      <c r="C32" s="14" t="s">
        <v>499</v>
      </c>
      <c r="D32" s="14">
        <v>2</v>
      </c>
      <c r="E32" s="15" t="s">
        <v>422</v>
      </c>
      <c r="F32" s="14" t="s">
        <v>261</v>
      </c>
    </row>
    <row r="33" spans="1:6" ht="15.5" x14ac:dyDescent="0.35">
      <c r="A33" s="16" t="s">
        <v>229</v>
      </c>
      <c r="B33" s="17" t="s">
        <v>515</v>
      </c>
      <c r="C33" s="18" t="s">
        <v>500</v>
      </c>
      <c r="D33" s="18">
        <v>1</v>
      </c>
      <c r="E33" s="19" t="s">
        <v>447</v>
      </c>
      <c r="F33" s="18" t="s">
        <v>260</v>
      </c>
    </row>
    <row r="34" spans="1:6" ht="15.5" x14ac:dyDescent="0.35">
      <c r="A34" s="12" t="s">
        <v>229</v>
      </c>
      <c r="B34" s="13" t="s">
        <v>515</v>
      </c>
      <c r="C34" s="14" t="s">
        <v>500</v>
      </c>
      <c r="D34" s="14">
        <v>2</v>
      </c>
      <c r="E34" s="15" t="s">
        <v>283</v>
      </c>
      <c r="F34" s="14" t="s">
        <v>168</v>
      </c>
    </row>
    <row r="35" spans="1:6" ht="15.5" x14ac:dyDescent="0.35">
      <c r="A35" s="16" t="s">
        <v>229</v>
      </c>
      <c r="B35" s="17" t="s">
        <v>515</v>
      </c>
      <c r="C35" s="18" t="s">
        <v>500</v>
      </c>
      <c r="D35" s="18">
        <v>3</v>
      </c>
      <c r="E35" s="19" t="s">
        <v>36</v>
      </c>
      <c r="F35" s="18" t="s">
        <v>261</v>
      </c>
    </row>
    <row r="36" spans="1:6" ht="15.5" x14ac:dyDescent="0.35">
      <c r="A36" s="12" t="s">
        <v>229</v>
      </c>
      <c r="B36" s="13" t="s">
        <v>517</v>
      </c>
      <c r="C36" s="14" t="s">
        <v>497</v>
      </c>
      <c r="D36" s="14">
        <v>1</v>
      </c>
      <c r="E36" s="15" t="s">
        <v>360</v>
      </c>
      <c r="F36" s="14" t="s">
        <v>361</v>
      </c>
    </row>
    <row r="37" spans="1:6" ht="15.5" x14ac:dyDescent="0.35">
      <c r="A37" s="16" t="s">
        <v>229</v>
      </c>
      <c r="B37" s="17" t="s">
        <v>517</v>
      </c>
      <c r="C37" s="18" t="s">
        <v>497</v>
      </c>
      <c r="D37" s="18">
        <v>2</v>
      </c>
      <c r="E37" s="19" t="s">
        <v>477</v>
      </c>
      <c r="F37" s="18" t="s">
        <v>179</v>
      </c>
    </row>
    <row r="38" spans="1:6" ht="15.5" x14ac:dyDescent="0.35">
      <c r="A38" s="12" t="s">
        <v>229</v>
      </c>
      <c r="B38" s="13" t="s">
        <v>517</v>
      </c>
      <c r="C38" s="14" t="s">
        <v>497</v>
      </c>
      <c r="D38" s="14">
        <v>3</v>
      </c>
      <c r="E38" s="15" t="s">
        <v>367</v>
      </c>
      <c r="F38" s="14" t="s">
        <v>295</v>
      </c>
    </row>
    <row r="39" spans="1:6" ht="15.5" x14ac:dyDescent="0.35">
      <c r="A39" s="16" t="s">
        <v>229</v>
      </c>
      <c r="B39" s="17" t="s">
        <v>517</v>
      </c>
      <c r="C39" s="18" t="s">
        <v>497</v>
      </c>
      <c r="D39" s="18">
        <v>4</v>
      </c>
      <c r="E39" s="19" t="s">
        <v>198</v>
      </c>
      <c r="F39" s="18" t="s">
        <v>271</v>
      </c>
    </row>
    <row r="40" spans="1:6" ht="15.5" x14ac:dyDescent="0.35">
      <c r="A40" s="12" t="s">
        <v>229</v>
      </c>
      <c r="B40" s="13" t="s">
        <v>517</v>
      </c>
      <c r="C40" s="14" t="s">
        <v>497</v>
      </c>
      <c r="D40" s="14">
        <v>5</v>
      </c>
      <c r="E40" s="15" t="s">
        <v>484</v>
      </c>
      <c r="F40" s="14" t="s">
        <v>179</v>
      </c>
    </row>
    <row r="41" spans="1:6" ht="15.5" x14ac:dyDescent="0.35">
      <c r="A41" s="16" t="s">
        <v>229</v>
      </c>
      <c r="B41" s="17" t="s">
        <v>517</v>
      </c>
      <c r="C41" s="18" t="s">
        <v>497</v>
      </c>
      <c r="D41" s="18">
        <v>6</v>
      </c>
      <c r="E41" s="19" t="s">
        <v>354</v>
      </c>
      <c r="F41" s="18" t="s">
        <v>169</v>
      </c>
    </row>
    <row r="42" spans="1:6" ht="15.5" x14ac:dyDescent="0.35">
      <c r="A42" s="12" t="s">
        <v>229</v>
      </c>
      <c r="B42" s="13" t="s">
        <v>517</v>
      </c>
      <c r="C42" s="14" t="s">
        <v>497</v>
      </c>
      <c r="D42" s="14">
        <v>7</v>
      </c>
      <c r="E42" s="15" t="s">
        <v>438</v>
      </c>
      <c r="F42" s="14" t="s">
        <v>179</v>
      </c>
    </row>
    <row r="43" spans="1:6" ht="15.5" x14ac:dyDescent="0.35">
      <c r="A43" s="16" t="s">
        <v>229</v>
      </c>
      <c r="B43" s="17" t="s">
        <v>517</v>
      </c>
      <c r="C43" s="18" t="s">
        <v>497</v>
      </c>
      <c r="D43" s="18">
        <v>8</v>
      </c>
      <c r="E43" s="19" t="s">
        <v>51</v>
      </c>
      <c r="F43" s="18" t="s">
        <v>295</v>
      </c>
    </row>
    <row r="44" spans="1:6" ht="15.5" x14ac:dyDescent="0.35">
      <c r="A44" s="12" t="s">
        <v>229</v>
      </c>
      <c r="B44" s="13" t="s">
        <v>517</v>
      </c>
      <c r="C44" s="14" t="s">
        <v>497</v>
      </c>
      <c r="D44" s="14">
        <v>9</v>
      </c>
      <c r="E44" s="15" t="s">
        <v>392</v>
      </c>
      <c r="F44" s="14" t="s">
        <v>271</v>
      </c>
    </row>
    <row r="45" spans="1:6" ht="15.5" x14ac:dyDescent="0.35">
      <c r="A45" s="16" t="s">
        <v>229</v>
      </c>
      <c r="B45" s="17" t="s">
        <v>517</v>
      </c>
      <c r="C45" s="18" t="s">
        <v>494</v>
      </c>
      <c r="D45" s="18">
        <v>1</v>
      </c>
      <c r="E45" s="19" t="s">
        <v>10</v>
      </c>
      <c r="F45" s="18" t="s">
        <v>169</v>
      </c>
    </row>
    <row r="46" spans="1:6" ht="15.5" x14ac:dyDescent="0.35">
      <c r="A46" s="12" t="s">
        <v>229</v>
      </c>
      <c r="B46" s="13" t="s">
        <v>517</v>
      </c>
      <c r="C46" s="14" t="s">
        <v>494</v>
      </c>
      <c r="D46" s="14">
        <v>2</v>
      </c>
      <c r="E46" s="15" t="s">
        <v>294</v>
      </c>
      <c r="F46" s="14" t="s">
        <v>295</v>
      </c>
    </row>
    <row r="47" spans="1:6" ht="15.5" x14ac:dyDescent="0.35">
      <c r="A47" s="16" t="s">
        <v>229</v>
      </c>
      <c r="B47" s="17" t="s">
        <v>517</v>
      </c>
      <c r="C47" s="18" t="s">
        <v>494</v>
      </c>
      <c r="D47" s="18">
        <v>3</v>
      </c>
      <c r="E47" s="19" t="s">
        <v>455</v>
      </c>
      <c r="F47" s="18" t="s">
        <v>260</v>
      </c>
    </row>
    <row r="48" spans="1:6" ht="15.5" x14ac:dyDescent="0.35">
      <c r="A48" s="12" t="s">
        <v>229</v>
      </c>
      <c r="B48" s="13" t="s">
        <v>517</v>
      </c>
      <c r="C48" s="14" t="s">
        <v>516</v>
      </c>
      <c r="D48" s="14">
        <v>1</v>
      </c>
      <c r="E48" s="15" t="s">
        <v>446</v>
      </c>
      <c r="F48" s="14" t="s">
        <v>260</v>
      </c>
    </row>
    <row r="49" spans="1:6" ht="15.5" x14ac:dyDescent="0.35">
      <c r="A49" s="16" t="s">
        <v>229</v>
      </c>
      <c r="B49" s="17" t="s">
        <v>517</v>
      </c>
      <c r="C49" s="18" t="s">
        <v>516</v>
      </c>
      <c r="D49" s="18">
        <v>2</v>
      </c>
      <c r="E49" s="19" t="s">
        <v>431</v>
      </c>
      <c r="F49" s="18" t="s">
        <v>179</v>
      </c>
    </row>
    <row r="50" spans="1:6" ht="15.5" x14ac:dyDescent="0.35">
      <c r="A50" s="12" t="s">
        <v>229</v>
      </c>
      <c r="B50" s="13" t="s">
        <v>517</v>
      </c>
      <c r="C50" s="14" t="s">
        <v>516</v>
      </c>
      <c r="D50" s="14">
        <v>3</v>
      </c>
      <c r="E50" s="15" t="s">
        <v>22</v>
      </c>
      <c r="F50" s="14" t="s">
        <v>169</v>
      </c>
    </row>
    <row r="51" spans="1:6" ht="15.5" x14ac:dyDescent="0.35">
      <c r="A51" s="16" t="s">
        <v>229</v>
      </c>
      <c r="B51" s="17" t="s">
        <v>517</v>
      </c>
      <c r="C51" s="18" t="s">
        <v>516</v>
      </c>
      <c r="D51" s="18">
        <v>4</v>
      </c>
      <c r="E51" s="19" t="s">
        <v>370</v>
      </c>
      <c r="F51" s="18" t="s">
        <v>260</v>
      </c>
    </row>
    <row r="52" spans="1:6" ht="15.5" x14ac:dyDescent="0.35">
      <c r="A52" s="12" t="s">
        <v>229</v>
      </c>
      <c r="B52" s="13" t="s">
        <v>517</v>
      </c>
      <c r="C52" s="14" t="s">
        <v>495</v>
      </c>
      <c r="D52" s="14">
        <v>1</v>
      </c>
      <c r="E52" s="15" t="s">
        <v>233</v>
      </c>
      <c r="F52" s="14" t="s">
        <v>260</v>
      </c>
    </row>
    <row r="53" spans="1:6" ht="15.5" x14ac:dyDescent="0.35">
      <c r="A53" s="16" t="s">
        <v>229</v>
      </c>
      <c r="B53" s="17" t="s">
        <v>517</v>
      </c>
      <c r="C53" s="18" t="s">
        <v>495</v>
      </c>
      <c r="D53" s="18">
        <v>2</v>
      </c>
      <c r="E53" s="19" t="s">
        <v>13</v>
      </c>
      <c r="F53" s="18" t="s">
        <v>260</v>
      </c>
    </row>
    <row r="54" spans="1:6" ht="15.5" x14ac:dyDescent="0.35">
      <c r="A54" s="12" t="s">
        <v>229</v>
      </c>
      <c r="B54" s="13" t="s">
        <v>517</v>
      </c>
      <c r="C54" s="14" t="s">
        <v>495</v>
      </c>
      <c r="D54" s="14">
        <v>3</v>
      </c>
      <c r="E54" s="15" t="s">
        <v>121</v>
      </c>
      <c r="F54" s="14" t="s">
        <v>295</v>
      </c>
    </row>
    <row r="55" spans="1:6" ht="15.5" x14ac:dyDescent="0.35">
      <c r="A55" s="16" t="s">
        <v>229</v>
      </c>
      <c r="B55" s="17" t="s">
        <v>517</v>
      </c>
      <c r="C55" s="18" t="s">
        <v>495</v>
      </c>
      <c r="D55" s="18">
        <v>4</v>
      </c>
      <c r="E55" s="19" t="s">
        <v>339</v>
      </c>
      <c r="F55" s="18" t="s">
        <v>298</v>
      </c>
    </row>
    <row r="56" spans="1:6" ht="15.5" x14ac:dyDescent="0.35">
      <c r="A56" s="12" t="s">
        <v>229</v>
      </c>
      <c r="B56" s="13" t="s">
        <v>517</v>
      </c>
      <c r="C56" s="14" t="s">
        <v>498</v>
      </c>
      <c r="D56" s="14">
        <v>1</v>
      </c>
      <c r="E56" s="15" t="s">
        <v>47</v>
      </c>
      <c r="F56" s="14" t="s">
        <v>177</v>
      </c>
    </row>
    <row r="57" spans="1:6" ht="15.5" x14ac:dyDescent="0.35">
      <c r="A57" s="16" t="s">
        <v>229</v>
      </c>
      <c r="B57" s="17" t="s">
        <v>517</v>
      </c>
      <c r="C57" s="18" t="s">
        <v>496</v>
      </c>
      <c r="D57" s="18">
        <v>1</v>
      </c>
      <c r="E57" s="19" t="s">
        <v>50</v>
      </c>
      <c r="F57" s="18" t="s">
        <v>179</v>
      </c>
    </row>
    <row r="58" spans="1:6" ht="15.5" x14ac:dyDescent="0.35">
      <c r="A58" s="12" t="s">
        <v>229</v>
      </c>
      <c r="B58" s="13" t="s">
        <v>517</v>
      </c>
      <c r="C58" s="14" t="s">
        <v>496</v>
      </c>
      <c r="D58" s="14">
        <v>2</v>
      </c>
      <c r="E58" s="15" t="s">
        <v>48</v>
      </c>
      <c r="F58" s="14" t="s">
        <v>260</v>
      </c>
    </row>
    <row r="59" spans="1:6" ht="15.5" x14ac:dyDescent="0.35">
      <c r="A59" s="16" t="s">
        <v>229</v>
      </c>
      <c r="B59" s="17" t="s">
        <v>517</v>
      </c>
      <c r="C59" s="18" t="s">
        <v>496</v>
      </c>
      <c r="D59" s="18">
        <v>3</v>
      </c>
      <c r="E59" s="19" t="s">
        <v>259</v>
      </c>
      <c r="F59" s="18" t="s">
        <v>260</v>
      </c>
    </row>
    <row r="60" spans="1:6" ht="15.5" x14ac:dyDescent="0.35">
      <c r="A60" s="12" t="s">
        <v>229</v>
      </c>
      <c r="B60" s="13" t="s">
        <v>517</v>
      </c>
      <c r="C60" s="14" t="s">
        <v>496</v>
      </c>
      <c r="D60" s="14">
        <v>4</v>
      </c>
      <c r="E60" s="15" t="s">
        <v>338</v>
      </c>
      <c r="F60" s="14" t="s">
        <v>295</v>
      </c>
    </row>
    <row r="61" spans="1:6" ht="15.5" x14ac:dyDescent="0.35">
      <c r="A61" s="16" t="s">
        <v>229</v>
      </c>
      <c r="B61" s="17" t="s">
        <v>517</v>
      </c>
      <c r="C61" s="18" t="s">
        <v>496</v>
      </c>
      <c r="D61" s="18">
        <v>5</v>
      </c>
      <c r="E61" s="19" t="s">
        <v>26</v>
      </c>
      <c r="F61" s="18" t="s">
        <v>271</v>
      </c>
    </row>
    <row r="62" spans="1:6" ht="15.5" x14ac:dyDescent="0.35">
      <c r="A62" s="12" t="s">
        <v>229</v>
      </c>
      <c r="B62" s="13" t="s">
        <v>517</v>
      </c>
      <c r="C62" s="14" t="s">
        <v>496</v>
      </c>
      <c r="D62" s="14">
        <v>6</v>
      </c>
      <c r="E62" s="15" t="s">
        <v>328</v>
      </c>
      <c r="F62" s="14" t="s">
        <v>298</v>
      </c>
    </row>
    <row r="63" spans="1:6" ht="15.5" x14ac:dyDescent="0.35">
      <c r="A63" s="16" t="s">
        <v>229</v>
      </c>
      <c r="B63" s="17" t="s">
        <v>517</v>
      </c>
      <c r="C63" s="18" t="s">
        <v>499</v>
      </c>
      <c r="D63" s="18">
        <v>1</v>
      </c>
      <c r="E63" s="19" t="s">
        <v>158</v>
      </c>
      <c r="F63" s="18" t="s">
        <v>177</v>
      </c>
    </row>
    <row r="64" spans="1:6" ht="15.5" x14ac:dyDescent="0.35">
      <c r="A64" s="12" t="s">
        <v>229</v>
      </c>
      <c r="B64" s="13" t="s">
        <v>517</v>
      </c>
      <c r="C64" s="14" t="s">
        <v>499</v>
      </c>
      <c r="D64" s="14">
        <v>2</v>
      </c>
      <c r="E64" s="15" t="s">
        <v>422</v>
      </c>
      <c r="F64" s="14" t="s">
        <v>261</v>
      </c>
    </row>
    <row r="65" spans="1:6" ht="15.5" x14ac:dyDescent="0.35">
      <c r="A65" s="16" t="s">
        <v>229</v>
      </c>
      <c r="B65" s="17" t="s">
        <v>517</v>
      </c>
      <c r="C65" s="18" t="s">
        <v>500</v>
      </c>
      <c r="D65" s="18">
        <v>1</v>
      </c>
      <c r="E65" s="19" t="s">
        <v>283</v>
      </c>
      <c r="F65" s="18" t="s">
        <v>168</v>
      </c>
    </row>
    <row r="66" spans="1:6" ht="15.5" x14ac:dyDescent="0.35">
      <c r="A66" s="12" t="s">
        <v>229</v>
      </c>
      <c r="B66" s="13" t="s">
        <v>517</v>
      </c>
      <c r="C66" s="14" t="s">
        <v>500</v>
      </c>
      <c r="D66" s="14">
        <v>2</v>
      </c>
      <c r="E66" s="15" t="s">
        <v>36</v>
      </c>
      <c r="F66" s="14" t="s">
        <v>261</v>
      </c>
    </row>
    <row r="67" spans="1:6" ht="15.5" x14ac:dyDescent="0.35">
      <c r="A67" s="16" t="s">
        <v>229</v>
      </c>
      <c r="B67" s="17" t="s">
        <v>517</v>
      </c>
      <c r="C67" s="18" t="s">
        <v>500</v>
      </c>
      <c r="D67" s="18">
        <v>3</v>
      </c>
      <c r="E67" s="19" t="s">
        <v>447</v>
      </c>
      <c r="F67" s="18" t="s">
        <v>260</v>
      </c>
    </row>
    <row r="68" spans="1:6" x14ac:dyDescent="0.35">
      <c r="A68" s="12" t="s">
        <v>7</v>
      </c>
      <c r="B68" s="13" t="s">
        <v>518</v>
      </c>
      <c r="C68" s="13" t="s">
        <v>494</v>
      </c>
      <c r="D68" s="13">
        <v>1</v>
      </c>
      <c r="E68" s="13" t="s">
        <v>479</v>
      </c>
      <c r="F68" s="13"/>
    </row>
    <row r="69" spans="1:6" x14ac:dyDescent="0.35">
      <c r="A69" s="16" t="s">
        <v>7</v>
      </c>
      <c r="B69" s="17" t="s">
        <v>518</v>
      </c>
      <c r="C69" s="17" t="s">
        <v>494</v>
      </c>
      <c r="D69" s="17">
        <v>2</v>
      </c>
      <c r="E69" s="17" t="s">
        <v>9</v>
      </c>
      <c r="F69" s="17"/>
    </row>
    <row r="70" spans="1:6" x14ac:dyDescent="0.35">
      <c r="A70" s="12" t="s">
        <v>7</v>
      </c>
      <c r="B70" s="13" t="s">
        <v>518</v>
      </c>
      <c r="C70" s="13" t="s">
        <v>494</v>
      </c>
      <c r="D70" s="13">
        <v>3</v>
      </c>
      <c r="E70" s="13" t="s">
        <v>96</v>
      </c>
      <c r="F70" s="13"/>
    </row>
    <row r="71" spans="1:6" x14ac:dyDescent="0.35">
      <c r="A71" s="16" t="s">
        <v>7</v>
      </c>
      <c r="B71" s="17" t="s">
        <v>518</v>
      </c>
      <c r="C71" s="17" t="s">
        <v>494</v>
      </c>
      <c r="D71" s="17">
        <v>4</v>
      </c>
      <c r="E71" s="17" t="s">
        <v>201</v>
      </c>
      <c r="F71" s="17"/>
    </row>
    <row r="72" spans="1:6" x14ac:dyDescent="0.35">
      <c r="A72" s="12" t="s">
        <v>7</v>
      </c>
      <c r="B72" s="13" t="s">
        <v>518</v>
      </c>
      <c r="C72" s="13" t="s">
        <v>494</v>
      </c>
      <c r="D72" s="13">
        <v>5</v>
      </c>
      <c r="E72" s="13" t="s">
        <v>15</v>
      </c>
      <c r="F72" s="13"/>
    </row>
    <row r="73" spans="1:6" x14ac:dyDescent="0.35">
      <c r="A73" s="16" t="s">
        <v>7</v>
      </c>
      <c r="B73" s="17" t="s">
        <v>518</v>
      </c>
      <c r="C73" s="17" t="s">
        <v>494</v>
      </c>
      <c r="D73" s="17">
        <v>6</v>
      </c>
      <c r="E73" s="17" t="s">
        <v>167</v>
      </c>
      <c r="F73" s="17"/>
    </row>
    <row r="74" spans="1:6" x14ac:dyDescent="0.35">
      <c r="A74" s="12" t="s">
        <v>7</v>
      </c>
      <c r="B74" s="13" t="s">
        <v>518</v>
      </c>
      <c r="C74" s="13" t="s">
        <v>494</v>
      </c>
      <c r="D74" s="13">
        <v>7</v>
      </c>
      <c r="E74" s="13" t="s">
        <v>248</v>
      </c>
      <c r="F74" s="13"/>
    </row>
    <row r="75" spans="1:6" x14ac:dyDescent="0.35">
      <c r="A75" s="16" t="s">
        <v>7</v>
      </c>
      <c r="B75" s="17" t="s">
        <v>518</v>
      </c>
      <c r="C75" s="17" t="s">
        <v>494</v>
      </c>
      <c r="D75" s="17">
        <v>8</v>
      </c>
      <c r="E75" s="17" t="s">
        <v>10</v>
      </c>
      <c r="F75" s="17"/>
    </row>
    <row r="76" spans="1:6" x14ac:dyDescent="0.35">
      <c r="A76" s="12" t="s">
        <v>7</v>
      </c>
      <c r="B76" s="13" t="s">
        <v>518</v>
      </c>
      <c r="C76" s="13" t="s">
        <v>494</v>
      </c>
      <c r="D76" s="13">
        <v>9</v>
      </c>
      <c r="E76" s="13" t="s">
        <v>181</v>
      </c>
      <c r="F76" s="13"/>
    </row>
    <row r="77" spans="1:6" x14ac:dyDescent="0.35">
      <c r="A77" s="16" t="s">
        <v>7</v>
      </c>
      <c r="B77" s="17" t="s">
        <v>518</v>
      </c>
      <c r="C77" s="17" t="s">
        <v>494</v>
      </c>
      <c r="D77" s="17">
        <v>10</v>
      </c>
      <c r="E77" s="17" t="s">
        <v>171</v>
      </c>
      <c r="F77" s="17"/>
    </row>
    <row r="78" spans="1:6" x14ac:dyDescent="0.35">
      <c r="A78" s="12" t="s">
        <v>7</v>
      </c>
      <c r="B78" s="13" t="s">
        <v>518</v>
      </c>
      <c r="C78" s="13" t="s">
        <v>494</v>
      </c>
      <c r="D78" s="13">
        <v>11</v>
      </c>
      <c r="E78" s="13" t="s">
        <v>401</v>
      </c>
      <c r="F78" s="13"/>
    </row>
    <row r="79" spans="1:6" x14ac:dyDescent="0.35">
      <c r="A79" s="16" t="s">
        <v>7</v>
      </c>
      <c r="B79" s="17" t="s">
        <v>518</v>
      </c>
      <c r="C79" s="17" t="s">
        <v>494</v>
      </c>
      <c r="D79" s="17">
        <v>12</v>
      </c>
      <c r="E79" s="17" t="s">
        <v>388</v>
      </c>
      <c r="F79" s="17"/>
    </row>
    <row r="80" spans="1:6" x14ac:dyDescent="0.35">
      <c r="A80" s="12" t="s">
        <v>7</v>
      </c>
      <c r="B80" s="13" t="s">
        <v>518</v>
      </c>
      <c r="C80" s="13" t="s">
        <v>494</v>
      </c>
      <c r="D80" s="13">
        <v>13</v>
      </c>
      <c r="E80" s="13" t="s">
        <v>118</v>
      </c>
      <c r="F80" s="13"/>
    </row>
    <row r="81" spans="1:6" x14ac:dyDescent="0.35">
      <c r="A81" s="16" t="s">
        <v>7</v>
      </c>
      <c r="B81" s="17" t="s">
        <v>518</v>
      </c>
      <c r="C81" s="17" t="s">
        <v>494</v>
      </c>
      <c r="D81" s="17">
        <v>14</v>
      </c>
      <c r="E81" s="17" t="s">
        <v>294</v>
      </c>
      <c r="F81" s="17"/>
    </row>
    <row r="82" spans="1:6" x14ac:dyDescent="0.35">
      <c r="A82" s="12" t="s">
        <v>7</v>
      </c>
      <c r="B82" s="13" t="s">
        <v>518</v>
      </c>
      <c r="C82" s="13" t="s">
        <v>494</v>
      </c>
      <c r="D82" s="13">
        <v>15</v>
      </c>
      <c r="E82" s="13" t="s">
        <v>398</v>
      </c>
      <c r="F82" s="13"/>
    </row>
    <row r="83" spans="1:6" x14ac:dyDescent="0.35">
      <c r="A83" s="16" t="s">
        <v>7</v>
      </c>
      <c r="B83" s="17" t="s">
        <v>518</v>
      </c>
      <c r="C83" s="17" t="s">
        <v>495</v>
      </c>
      <c r="D83" s="17">
        <v>1</v>
      </c>
      <c r="E83" s="17" t="s">
        <v>29</v>
      </c>
      <c r="F83" s="17"/>
    </row>
    <row r="84" spans="1:6" x14ac:dyDescent="0.35">
      <c r="A84" s="12" t="s">
        <v>7</v>
      </c>
      <c r="B84" s="13" t="s">
        <v>518</v>
      </c>
      <c r="C84" s="13" t="s">
        <v>495</v>
      </c>
      <c r="D84" s="13">
        <v>2</v>
      </c>
      <c r="E84" s="13" t="s">
        <v>83</v>
      </c>
      <c r="F84" s="13"/>
    </row>
    <row r="85" spans="1:6" x14ac:dyDescent="0.35">
      <c r="A85" s="16" t="s">
        <v>7</v>
      </c>
      <c r="B85" s="17" t="s">
        <v>518</v>
      </c>
      <c r="C85" s="17" t="s">
        <v>495</v>
      </c>
      <c r="D85" s="17">
        <v>3</v>
      </c>
      <c r="E85" s="17" t="s">
        <v>13</v>
      </c>
      <c r="F85" s="17"/>
    </row>
    <row r="86" spans="1:6" x14ac:dyDescent="0.35">
      <c r="A86" s="12" t="s">
        <v>7</v>
      </c>
      <c r="B86" s="13" t="s">
        <v>518</v>
      </c>
      <c r="C86" s="13" t="s">
        <v>495</v>
      </c>
      <c r="D86" s="13">
        <v>4</v>
      </c>
      <c r="E86" s="13" t="s">
        <v>121</v>
      </c>
      <c r="F86" s="13"/>
    </row>
    <row r="87" spans="1:6" x14ac:dyDescent="0.35">
      <c r="A87" s="16" t="s">
        <v>7</v>
      </c>
      <c r="B87" s="17" t="s">
        <v>518</v>
      </c>
      <c r="C87" s="17" t="s">
        <v>495</v>
      </c>
      <c r="D87" s="17">
        <v>5</v>
      </c>
      <c r="E87" s="17" t="s">
        <v>223</v>
      </c>
      <c r="F87" s="17"/>
    </row>
    <row r="88" spans="1:6" x14ac:dyDescent="0.35">
      <c r="A88" s="12" t="s">
        <v>7</v>
      </c>
      <c r="B88" s="13" t="s">
        <v>518</v>
      </c>
      <c r="C88" s="13" t="s">
        <v>495</v>
      </c>
      <c r="D88" s="13">
        <v>6</v>
      </c>
      <c r="E88" s="13" t="s">
        <v>423</v>
      </c>
      <c r="F88" s="13"/>
    </row>
    <row r="89" spans="1:6" x14ac:dyDescent="0.35">
      <c r="A89" s="16" t="s">
        <v>7</v>
      </c>
      <c r="B89" s="17" t="s">
        <v>518</v>
      </c>
      <c r="C89" s="17" t="s">
        <v>516</v>
      </c>
      <c r="D89" s="17">
        <v>1</v>
      </c>
      <c r="E89" s="17" t="s">
        <v>173</v>
      </c>
      <c r="F89" s="17"/>
    </row>
    <row r="90" spans="1:6" x14ac:dyDescent="0.35">
      <c r="A90" s="12" t="s">
        <v>7</v>
      </c>
      <c r="B90" s="13" t="s">
        <v>518</v>
      </c>
      <c r="C90" s="13" t="s">
        <v>516</v>
      </c>
      <c r="D90" s="13">
        <v>2</v>
      </c>
      <c r="E90" s="13" t="s">
        <v>446</v>
      </c>
      <c r="F90" s="13"/>
    </row>
    <row r="91" spans="1:6" x14ac:dyDescent="0.35">
      <c r="A91" s="16" t="s">
        <v>7</v>
      </c>
      <c r="B91" s="17" t="s">
        <v>518</v>
      </c>
      <c r="C91" s="17" t="s">
        <v>516</v>
      </c>
      <c r="D91" s="17">
        <v>3</v>
      </c>
      <c r="E91" s="17" t="s">
        <v>199</v>
      </c>
      <c r="F91" s="17"/>
    </row>
    <row r="92" spans="1:6" x14ac:dyDescent="0.35">
      <c r="A92" s="12" t="s">
        <v>7</v>
      </c>
      <c r="B92" s="13" t="s">
        <v>518</v>
      </c>
      <c r="C92" s="13" t="s">
        <v>516</v>
      </c>
      <c r="D92" s="13">
        <v>4</v>
      </c>
      <c r="E92" s="13" t="s">
        <v>22</v>
      </c>
      <c r="F92" s="13"/>
    </row>
    <row r="93" spans="1:6" x14ac:dyDescent="0.35">
      <c r="A93" s="16" t="s">
        <v>7</v>
      </c>
      <c r="B93" s="17" t="s">
        <v>518</v>
      </c>
      <c r="C93" s="17" t="s">
        <v>498</v>
      </c>
      <c r="D93" s="17">
        <v>1</v>
      </c>
      <c r="E93" s="17" t="s">
        <v>47</v>
      </c>
      <c r="F93" s="17"/>
    </row>
    <row r="94" spans="1:6" x14ac:dyDescent="0.35">
      <c r="A94" s="12" t="s">
        <v>7</v>
      </c>
      <c r="B94" s="13" t="s">
        <v>518</v>
      </c>
      <c r="C94" s="13" t="s">
        <v>498</v>
      </c>
      <c r="D94" s="13">
        <v>2</v>
      </c>
      <c r="E94" s="13" t="s">
        <v>232</v>
      </c>
      <c r="F94" s="13"/>
    </row>
    <row r="95" spans="1:6" x14ac:dyDescent="0.35">
      <c r="A95" s="16" t="s">
        <v>7</v>
      </c>
      <c r="B95" s="17" t="s">
        <v>518</v>
      </c>
      <c r="C95" s="17" t="s">
        <v>498</v>
      </c>
      <c r="D95" s="17">
        <v>3</v>
      </c>
      <c r="E95" s="17" t="s">
        <v>387</v>
      </c>
      <c r="F95" s="17"/>
    </row>
    <row r="96" spans="1:6" x14ac:dyDescent="0.35">
      <c r="A96" s="12" t="s">
        <v>7</v>
      </c>
      <c r="B96" s="13" t="s">
        <v>518</v>
      </c>
      <c r="C96" s="13" t="s">
        <v>498</v>
      </c>
      <c r="D96" s="13">
        <v>4</v>
      </c>
      <c r="E96" s="13" t="s">
        <v>174</v>
      </c>
      <c r="F96" s="13"/>
    </row>
    <row r="97" spans="1:6" x14ac:dyDescent="0.35">
      <c r="A97" s="16" t="s">
        <v>7</v>
      </c>
      <c r="B97" s="17" t="s">
        <v>518</v>
      </c>
      <c r="C97" s="17" t="s">
        <v>498</v>
      </c>
      <c r="D97" s="17">
        <v>5</v>
      </c>
      <c r="E97" s="17" t="s">
        <v>20</v>
      </c>
      <c r="F97" s="17"/>
    </row>
    <row r="98" spans="1:6" x14ac:dyDescent="0.35">
      <c r="A98" s="12" t="s">
        <v>7</v>
      </c>
      <c r="B98" s="13" t="s">
        <v>518</v>
      </c>
      <c r="C98" s="13" t="s">
        <v>496</v>
      </c>
      <c r="D98" s="13">
        <v>1</v>
      </c>
      <c r="E98" s="13" t="s">
        <v>50</v>
      </c>
      <c r="F98" s="13"/>
    </row>
    <row r="99" spans="1:6" x14ac:dyDescent="0.35">
      <c r="A99" s="16" t="s">
        <v>7</v>
      </c>
      <c r="B99" s="17" t="s">
        <v>518</v>
      </c>
      <c r="C99" s="17" t="s">
        <v>496</v>
      </c>
      <c r="D99" s="17">
        <v>2</v>
      </c>
      <c r="E99" s="17" t="s">
        <v>48</v>
      </c>
      <c r="F99" s="17"/>
    </row>
    <row r="100" spans="1:6" x14ac:dyDescent="0.35">
      <c r="A100" s="12" t="s">
        <v>7</v>
      </c>
      <c r="B100" s="13" t="s">
        <v>518</v>
      </c>
      <c r="C100" s="13" t="s">
        <v>496</v>
      </c>
      <c r="D100" s="13">
        <v>3</v>
      </c>
      <c r="E100" s="13" t="s">
        <v>204</v>
      </c>
      <c r="F100" s="13"/>
    </row>
    <row r="101" spans="1:6" x14ac:dyDescent="0.35">
      <c r="A101" s="16" t="s">
        <v>7</v>
      </c>
      <c r="B101" s="17" t="s">
        <v>518</v>
      </c>
      <c r="C101" s="17" t="s">
        <v>496</v>
      </c>
      <c r="D101" s="17">
        <v>4</v>
      </c>
      <c r="E101" s="17" t="s">
        <v>28</v>
      </c>
      <c r="F101" s="17"/>
    </row>
    <row r="102" spans="1:6" x14ac:dyDescent="0.35">
      <c r="A102" s="12" t="s">
        <v>7</v>
      </c>
      <c r="B102" s="13" t="s">
        <v>518</v>
      </c>
      <c r="C102" s="13" t="s">
        <v>496</v>
      </c>
      <c r="D102" s="13">
        <v>5</v>
      </c>
      <c r="E102" s="13" t="s">
        <v>338</v>
      </c>
      <c r="F102" s="13"/>
    </row>
    <row r="103" spans="1:6" x14ac:dyDescent="0.35">
      <c r="A103" s="16" t="s">
        <v>7</v>
      </c>
      <c r="B103" s="17" t="s">
        <v>518</v>
      </c>
      <c r="C103" s="17" t="s">
        <v>496</v>
      </c>
      <c r="D103" s="17">
        <v>6</v>
      </c>
      <c r="E103" s="17" t="s">
        <v>26</v>
      </c>
      <c r="F103" s="17"/>
    </row>
    <row r="104" spans="1:6" x14ac:dyDescent="0.35">
      <c r="A104" s="12" t="s">
        <v>7</v>
      </c>
      <c r="B104" s="13" t="s">
        <v>518</v>
      </c>
      <c r="C104" s="13" t="s">
        <v>496</v>
      </c>
      <c r="D104" s="13">
        <v>7</v>
      </c>
      <c r="E104" s="13" t="s">
        <v>175</v>
      </c>
      <c r="F104" s="13"/>
    </row>
    <row r="105" spans="1:6" x14ac:dyDescent="0.35">
      <c r="A105" s="16" t="s">
        <v>7</v>
      </c>
      <c r="B105" s="17" t="s">
        <v>518</v>
      </c>
      <c r="C105" s="17" t="s">
        <v>496</v>
      </c>
      <c r="D105" s="17">
        <v>8</v>
      </c>
      <c r="E105" s="17" t="s">
        <v>205</v>
      </c>
      <c r="F105" s="17"/>
    </row>
    <row r="106" spans="1:6" x14ac:dyDescent="0.35">
      <c r="A106" s="12" t="s">
        <v>7</v>
      </c>
      <c r="B106" s="13" t="s">
        <v>518</v>
      </c>
      <c r="C106" s="13" t="s">
        <v>496</v>
      </c>
      <c r="D106" s="13">
        <v>9</v>
      </c>
      <c r="E106" s="13" t="s">
        <v>30</v>
      </c>
      <c r="F106" s="13"/>
    </row>
    <row r="107" spans="1:6" x14ac:dyDescent="0.35">
      <c r="A107" s="16" t="s">
        <v>7</v>
      </c>
      <c r="B107" s="17" t="s">
        <v>518</v>
      </c>
      <c r="C107" s="17" t="s">
        <v>496</v>
      </c>
      <c r="D107" s="17">
        <v>10</v>
      </c>
      <c r="E107" s="17" t="s">
        <v>182</v>
      </c>
      <c r="F107" s="17"/>
    </row>
    <row r="108" spans="1:6" x14ac:dyDescent="0.35">
      <c r="A108" s="12" t="s">
        <v>7</v>
      </c>
      <c r="B108" s="13" t="s">
        <v>518</v>
      </c>
      <c r="C108" s="13" t="s">
        <v>496</v>
      </c>
      <c r="D108" s="13">
        <v>11</v>
      </c>
      <c r="E108" s="13" t="s">
        <v>240</v>
      </c>
      <c r="F108" s="13"/>
    </row>
    <row r="109" spans="1:6" x14ac:dyDescent="0.35">
      <c r="A109" s="16" t="s">
        <v>7</v>
      </c>
      <c r="B109" s="17" t="s">
        <v>518</v>
      </c>
      <c r="C109" s="17" t="s">
        <v>499</v>
      </c>
      <c r="D109" s="17">
        <v>1</v>
      </c>
      <c r="E109" s="17" t="s">
        <v>35</v>
      </c>
      <c r="F109" s="17"/>
    </row>
    <row r="110" spans="1:6" x14ac:dyDescent="0.35">
      <c r="A110" s="12" t="s">
        <v>7</v>
      </c>
      <c r="B110" s="13" t="s">
        <v>518</v>
      </c>
      <c r="C110" s="13" t="s">
        <v>499</v>
      </c>
      <c r="D110" s="13">
        <v>2</v>
      </c>
      <c r="E110" s="13" t="s">
        <v>158</v>
      </c>
      <c r="F110" s="13"/>
    </row>
    <row r="111" spans="1:6" x14ac:dyDescent="0.35">
      <c r="A111" s="16" t="s">
        <v>7</v>
      </c>
      <c r="B111" s="17" t="s">
        <v>518</v>
      </c>
      <c r="C111" s="17" t="s">
        <v>499</v>
      </c>
      <c r="D111" s="17">
        <v>3</v>
      </c>
      <c r="E111" s="17" t="s">
        <v>224</v>
      </c>
      <c r="F111" s="17"/>
    </row>
    <row r="112" spans="1:6" x14ac:dyDescent="0.35">
      <c r="A112" s="12" t="s">
        <v>7</v>
      </c>
      <c r="B112" s="13" t="s">
        <v>518</v>
      </c>
      <c r="C112" s="13" t="s">
        <v>499</v>
      </c>
      <c r="D112" s="13">
        <v>4</v>
      </c>
      <c r="E112" s="13" t="s">
        <v>163</v>
      </c>
      <c r="F112" s="13"/>
    </row>
    <row r="113" spans="1:6" x14ac:dyDescent="0.35">
      <c r="A113" s="16" t="s">
        <v>7</v>
      </c>
      <c r="B113" s="17" t="s">
        <v>518</v>
      </c>
      <c r="C113" s="17" t="s">
        <v>500</v>
      </c>
      <c r="D113" s="17">
        <v>1</v>
      </c>
      <c r="E113" s="17" t="s">
        <v>459</v>
      </c>
      <c r="F113" s="17"/>
    </row>
    <row r="114" spans="1:6" x14ac:dyDescent="0.35">
      <c r="A114" s="12" t="s">
        <v>7</v>
      </c>
      <c r="B114" s="13" t="s">
        <v>518</v>
      </c>
      <c r="C114" s="13" t="s">
        <v>500</v>
      </c>
      <c r="D114" s="13">
        <v>2</v>
      </c>
      <c r="E114" s="13" t="s">
        <v>34</v>
      </c>
      <c r="F114" s="13"/>
    </row>
    <row r="115" spans="1:6" x14ac:dyDescent="0.35">
      <c r="A115" s="16" t="s">
        <v>7</v>
      </c>
      <c r="B115" s="17" t="s">
        <v>518</v>
      </c>
      <c r="C115" s="17" t="s">
        <v>500</v>
      </c>
      <c r="D115" s="17">
        <v>3</v>
      </c>
      <c r="E115" s="17" t="s">
        <v>283</v>
      </c>
      <c r="F115" s="17"/>
    </row>
    <row r="116" spans="1:6" x14ac:dyDescent="0.35">
      <c r="A116" s="12" t="s">
        <v>7</v>
      </c>
      <c r="B116" s="13" t="s">
        <v>518</v>
      </c>
      <c r="C116" s="13" t="s">
        <v>500</v>
      </c>
      <c r="D116" s="13">
        <v>4</v>
      </c>
      <c r="E116" s="13" t="s">
        <v>43</v>
      </c>
      <c r="F116" s="13"/>
    </row>
    <row r="117" spans="1:6" x14ac:dyDescent="0.35">
      <c r="A117" s="16" t="s">
        <v>7</v>
      </c>
      <c r="B117" s="17" t="s">
        <v>518</v>
      </c>
      <c r="C117" s="17" t="s">
        <v>500</v>
      </c>
      <c r="D117" s="17">
        <v>5</v>
      </c>
      <c r="E117" s="17" t="s">
        <v>447</v>
      </c>
      <c r="F117" s="17"/>
    </row>
    <row r="118" spans="1:6" x14ac:dyDescent="0.35">
      <c r="A118" s="12" t="s">
        <v>7</v>
      </c>
      <c r="B118" s="13" t="s">
        <v>518</v>
      </c>
      <c r="C118" s="13" t="s">
        <v>500</v>
      </c>
      <c r="D118" s="13">
        <v>6</v>
      </c>
      <c r="E118" s="13" t="s">
        <v>468</v>
      </c>
      <c r="F118" s="13"/>
    </row>
    <row r="119" spans="1:6" x14ac:dyDescent="0.35">
      <c r="A119" s="16" t="s">
        <v>7</v>
      </c>
      <c r="B119" s="17" t="s">
        <v>518</v>
      </c>
      <c r="C119" s="17" t="s">
        <v>497</v>
      </c>
      <c r="D119" s="17">
        <v>1</v>
      </c>
      <c r="E119" s="17" t="s">
        <v>269</v>
      </c>
      <c r="F119" s="17"/>
    </row>
    <row r="120" spans="1:6" x14ac:dyDescent="0.35">
      <c r="A120" s="12" t="s">
        <v>7</v>
      </c>
      <c r="B120" s="13" t="s">
        <v>518</v>
      </c>
      <c r="C120" s="13" t="s">
        <v>497</v>
      </c>
      <c r="D120" s="13">
        <v>2</v>
      </c>
      <c r="E120" s="13" t="s">
        <v>445</v>
      </c>
      <c r="F120" s="13"/>
    </row>
    <row r="121" spans="1:6" x14ac:dyDescent="0.35">
      <c r="A121" s="16" t="s">
        <v>7</v>
      </c>
      <c r="B121" s="17" t="s">
        <v>518</v>
      </c>
      <c r="C121" s="17" t="s">
        <v>497</v>
      </c>
      <c r="D121" s="17">
        <v>3</v>
      </c>
      <c r="E121" s="17" t="s">
        <v>367</v>
      </c>
      <c r="F121" s="17"/>
    </row>
    <row r="122" spans="1:6" x14ac:dyDescent="0.35">
      <c r="A122" s="12" t="s">
        <v>7</v>
      </c>
      <c r="B122" s="13" t="s">
        <v>518</v>
      </c>
      <c r="C122" s="13" t="s">
        <v>497</v>
      </c>
      <c r="D122" s="13">
        <v>4</v>
      </c>
      <c r="E122" s="13" t="s">
        <v>482</v>
      </c>
      <c r="F122" s="13"/>
    </row>
    <row r="123" spans="1:6" x14ac:dyDescent="0.35">
      <c r="A123" s="16" t="s">
        <v>7</v>
      </c>
      <c r="B123" s="17" t="s">
        <v>518</v>
      </c>
      <c r="C123" s="17" t="s">
        <v>497</v>
      </c>
      <c r="D123" s="17">
        <v>5</v>
      </c>
      <c r="E123" s="17" t="s">
        <v>360</v>
      </c>
      <c r="F123" s="17"/>
    </row>
    <row r="124" spans="1:6" x14ac:dyDescent="0.35">
      <c r="A124" s="12" t="s">
        <v>7</v>
      </c>
      <c r="B124" s="13" t="s">
        <v>518</v>
      </c>
      <c r="C124" s="13" t="s">
        <v>497</v>
      </c>
      <c r="D124" s="13">
        <v>6</v>
      </c>
      <c r="E124" s="13" t="s">
        <v>198</v>
      </c>
      <c r="F124" s="13"/>
    </row>
    <row r="125" spans="1:6" x14ac:dyDescent="0.35">
      <c r="A125" s="16" t="s">
        <v>7</v>
      </c>
      <c r="B125" s="17" t="s">
        <v>518</v>
      </c>
      <c r="C125" s="17" t="s">
        <v>497</v>
      </c>
      <c r="D125" s="17">
        <v>7</v>
      </c>
      <c r="E125" s="17" t="s">
        <v>444</v>
      </c>
      <c r="F125" s="17"/>
    </row>
    <row r="126" spans="1:6" x14ac:dyDescent="0.35">
      <c r="A126" s="12" t="s">
        <v>7</v>
      </c>
      <c r="B126" s="13" t="s">
        <v>518</v>
      </c>
      <c r="C126" s="13" t="s">
        <v>497</v>
      </c>
      <c r="D126" s="13">
        <v>8</v>
      </c>
      <c r="E126" s="13" t="s">
        <v>51</v>
      </c>
      <c r="F126" s="13"/>
    </row>
    <row r="127" spans="1:6" x14ac:dyDescent="0.35">
      <c r="A127" s="16" t="s">
        <v>7</v>
      </c>
      <c r="B127" s="17" t="s">
        <v>518</v>
      </c>
      <c r="C127" s="17" t="s">
        <v>497</v>
      </c>
      <c r="D127" s="17">
        <v>9</v>
      </c>
      <c r="E127" s="17" t="s">
        <v>354</v>
      </c>
      <c r="F127" s="17"/>
    </row>
    <row r="128" spans="1:6" x14ac:dyDescent="0.35">
      <c r="A128" s="12" t="s">
        <v>7</v>
      </c>
      <c r="B128" s="13" t="s">
        <v>518</v>
      </c>
      <c r="C128" s="13" t="s">
        <v>497</v>
      </c>
      <c r="D128" s="13">
        <v>10</v>
      </c>
      <c r="E128" s="13" t="s">
        <v>301</v>
      </c>
      <c r="F128" s="13"/>
    </row>
    <row r="129" spans="1:6" x14ac:dyDescent="0.35">
      <c r="A129" s="16" t="s">
        <v>7</v>
      </c>
      <c r="B129" s="17" t="s">
        <v>518</v>
      </c>
      <c r="C129" s="17" t="s">
        <v>497</v>
      </c>
      <c r="D129" s="17">
        <v>11</v>
      </c>
      <c r="E129" s="17" t="s">
        <v>417</v>
      </c>
      <c r="F129" s="17"/>
    </row>
    <row r="130" spans="1:6" x14ac:dyDescent="0.35">
      <c r="A130" s="12" t="s">
        <v>7</v>
      </c>
      <c r="B130" s="13" t="s">
        <v>518</v>
      </c>
      <c r="C130" s="13" t="s">
        <v>497</v>
      </c>
      <c r="D130" s="13">
        <v>12</v>
      </c>
      <c r="E130" s="13" t="s">
        <v>280</v>
      </c>
      <c r="F130" s="13"/>
    </row>
    <row r="131" spans="1:6" x14ac:dyDescent="0.35">
      <c r="A131" s="16" t="s">
        <v>7</v>
      </c>
      <c r="B131" s="17" t="s">
        <v>519</v>
      </c>
      <c r="C131" s="17" t="s">
        <v>494</v>
      </c>
      <c r="D131" s="17">
        <v>1</v>
      </c>
      <c r="E131" s="17" t="s">
        <v>201</v>
      </c>
      <c r="F131" s="17"/>
    </row>
    <row r="132" spans="1:6" x14ac:dyDescent="0.35">
      <c r="A132" s="12" t="s">
        <v>7</v>
      </c>
      <c r="B132" s="13" t="s">
        <v>519</v>
      </c>
      <c r="C132" s="13" t="s">
        <v>494</v>
      </c>
      <c r="D132" s="13">
        <v>2</v>
      </c>
      <c r="E132" s="13" t="s">
        <v>9</v>
      </c>
      <c r="F132" s="13"/>
    </row>
    <row r="133" spans="1:6" x14ac:dyDescent="0.35">
      <c r="A133" s="16" t="s">
        <v>7</v>
      </c>
      <c r="B133" s="17" t="s">
        <v>519</v>
      </c>
      <c r="C133" s="17" t="s">
        <v>494</v>
      </c>
      <c r="D133" s="17">
        <v>3</v>
      </c>
      <c r="E133" s="17" t="s">
        <v>96</v>
      </c>
      <c r="F133" s="17"/>
    </row>
    <row r="134" spans="1:6" x14ac:dyDescent="0.35">
      <c r="A134" s="12" t="s">
        <v>7</v>
      </c>
      <c r="B134" s="13" t="s">
        <v>519</v>
      </c>
      <c r="C134" s="13" t="s">
        <v>494</v>
      </c>
      <c r="D134" s="13">
        <v>4</v>
      </c>
      <c r="E134" s="13" t="s">
        <v>15</v>
      </c>
      <c r="F134" s="13"/>
    </row>
    <row r="135" spans="1:6" x14ac:dyDescent="0.35">
      <c r="A135" s="16" t="s">
        <v>7</v>
      </c>
      <c r="B135" s="17" t="s">
        <v>519</v>
      </c>
      <c r="C135" s="17" t="s">
        <v>494</v>
      </c>
      <c r="D135" s="17">
        <v>5</v>
      </c>
      <c r="E135" s="17" t="s">
        <v>10</v>
      </c>
      <c r="F135" s="17"/>
    </row>
    <row r="136" spans="1:6" x14ac:dyDescent="0.35">
      <c r="A136" s="12" t="s">
        <v>7</v>
      </c>
      <c r="B136" s="13" t="s">
        <v>519</v>
      </c>
      <c r="C136" s="13" t="s">
        <v>494</v>
      </c>
      <c r="D136" s="13">
        <v>6</v>
      </c>
      <c r="E136" s="13" t="s">
        <v>479</v>
      </c>
      <c r="F136" s="13"/>
    </row>
    <row r="137" spans="1:6" x14ac:dyDescent="0.35">
      <c r="A137" s="16" t="s">
        <v>7</v>
      </c>
      <c r="B137" s="17" t="s">
        <v>519</v>
      </c>
      <c r="C137" s="17" t="s">
        <v>494</v>
      </c>
      <c r="D137" s="17">
        <v>7</v>
      </c>
      <c r="E137" s="17" t="s">
        <v>181</v>
      </c>
      <c r="F137" s="17"/>
    </row>
    <row r="138" spans="1:6" x14ac:dyDescent="0.35">
      <c r="A138" s="12" t="s">
        <v>7</v>
      </c>
      <c r="B138" s="13" t="s">
        <v>519</v>
      </c>
      <c r="C138" s="13" t="s">
        <v>494</v>
      </c>
      <c r="D138" s="13">
        <v>8</v>
      </c>
      <c r="E138" s="13" t="s">
        <v>248</v>
      </c>
      <c r="F138" s="13"/>
    </row>
    <row r="139" spans="1:6" x14ac:dyDescent="0.35">
      <c r="A139" s="16" t="s">
        <v>7</v>
      </c>
      <c r="B139" s="17" t="s">
        <v>519</v>
      </c>
      <c r="C139" s="17" t="s">
        <v>494</v>
      </c>
      <c r="D139" s="17">
        <v>9</v>
      </c>
      <c r="E139" s="17" t="s">
        <v>167</v>
      </c>
      <c r="F139" s="17"/>
    </row>
    <row r="140" spans="1:6" x14ac:dyDescent="0.35">
      <c r="A140" s="12" t="s">
        <v>7</v>
      </c>
      <c r="B140" s="13" t="s">
        <v>519</v>
      </c>
      <c r="C140" s="13" t="s">
        <v>494</v>
      </c>
      <c r="D140" s="13">
        <v>10</v>
      </c>
      <c r="E140" s="13" t="s">
        <v>171</v>
      </c>
      <c r="F140" s="13"/>
    </row>
    <row r="141" spans="1:6" x14ac:dyDescent="0.35">
      <c r="A141" s="16" t="s">
        <v>7</v>
      </c>
      <c r="B141" s="17" t="s">
        <v>519</v>
      </c>
      <c r="C141" s="17" t="s">
        <v>494</v>
      </c>
      <c r="D141" s="17">
        <v>11</v>
      </c>
      <c r="E141" s="17" t="s">
        <v>388</v>
      </c>
      <c r="F141" s="17"/>
    </row>
    <row r="142" spans="1:6" x14ac:dyDescent="0.35">
      <c r="A142" s="12" t="s">
        <v>7</v>
      </c>
      <c r="B142" s="13" t="s">
        <v>519</v>
      </c>
      <c r="C142" s="13" t="s">
        <v>494</v>
      </c>
      <c r="D142" s="13">
        <v>12</v>
      </c>
      <c r="E142" s="13" t="s">
        <v>401</v>
      </c>
      <c r="F142" s="13"/>
    </row>
    <row r="143" spans="1:6" x14ac:dyDescent="0.35">
      <c r="A143" s="16" t="s">
        <v>7</v>
      </c>
      <c r="B143" s="17" t="s">
        <v>519</v>
      </c>
      <c r="C143" s="17" t="s">
        <v>494</v>
      </c>
      <c r="D143" s="17">
        <v>13</v>
      </c>
      <c r="E143" s="17" t="s">
        <v>294</v>
      </c>
      <c r="F143" s="17"/>
    </row>
    <row r="144" spans="1:6" x14ac:dyDescent="0.35">
      <c r="A144" s="12" t="s">
        <v>7</v>
      </c>
      <c r="B144" s="13" t="s">
        <v>519</v>
      </c>
      <c r="C144" s="13" t="s">
        <v>494</v>
      </c>
      <c r="D144" s="13">
        <v>14</v>
      </c>
      <c r="E144" s="13" t="s">
        <v>118</v>
      </c>
      <c r="F144" s="13"/>
    </row>
    <row r="145" spans="1:6" x14ac:dyDescent="0.35">
      <c r="A145" s="16" t="s">
        <v>7</v>
      </c>
      <c r="B145" s="17" t="s">
        <v>519</v>
      </c>
      <c r="C145" s="17" t="s">
        <v>494</v>
      </c>
      <c r="D145" s="17">
        <v>15</v>
      </c>
      <c r="E145" s="17" t="s">
        <v>398</v>
      </c>
      <c r="F145" s="17"/>
    </row>
    <row r="146" spans="1:6" x14ac:dyDescent="0.35">
      <c r="A146" s="12" t="s">
        <v>7</v>
      </c>
      <c r="B146" s="13" t="s">
        <v>519</v>
      </c>
      <c r="C146" s="13" t="s">
        <v>516</v>
      </c>
      <c r="D146" s="13">
        <v>1</v>
      </c>
      <c r="E146" s="13" t="s">
        <v>199</v>
      </c>
      <c r="F146" s="13"/>
    </row>
    <row r="147" spans="1:6" x14ac:dyDescent="0.35">
      <c r="A147" s="16" t="s">
        <v>7</v>
      </c>
      <c r="B147" s="17" t="s">
        <v>519</v>
      </c>
      <c r="C147" s="17" t="s">
        <v>516</v>
      </c>
      <c r="D147" s="17">
        <v>2</v>
      </c>
      <c r="E147" s="17" t="s">
        <v>446</v>
      </c>
      <c r="F147" s="17"/>
    </row>
    <row r="148" spans="1:6" x14ac:dyDescent="0.35">
      <c r="A148" s="12" t="s">
        <v>7</v>
      </c>
      <c r="B148" s="13" t="s">
        <v>519</v>
      </c>
      <c r="C148" s="13" t="s">
        <v>516</v>
      </c>
      <c r="D148" s="13">
        <v>3</v>
      </c>
      <c r="E148" s="13" t="s">
        <v>173</v>
      </c>
      <c r="F148" s="13"/>
    </row>
    <row r="149" spans="1:6" x14ac:dyDescent="0.35">
      <c r="A149" s="16" t="s">
        <v>7</v>
      </c>
      <c r="B149" s="17" t="s">
        <v>519</v>
      </c>
      <c r="C149" s="17" t="s">
        <v>516</v>
      </c>
      <c r="D149" s="17">
        <v>4</v>
      </c>
      <c r="E149" s="17" t="s">
        <v>22</v>
      </c>
      <c r="F149" s="17"/>
    </row>
    <row r="150" spans="1:6" x14ac:dyDescent="0.35">
      <c r="A150" s="12" t="s">
        <v>7</v>
      </c>
      <c r="B150" s="13" t="s">
        <v>519</v>
      </c>
      <c r="C150" s="13" t="s">
        <v>495</v>
      </c>
      <c r="D150" s="13">
        <v>1</v>
      </c>
      <c r="E150" s="13" t="s">
        <v>29</v>
      </c>
      <c r="F150" s="13"/>
    </row>
    <row r="151" spans="1:6" x14ac:dyDescent="0.35">
      <c r="A151" s="16" t="s">
        <v>7</v>
      </c>
      <c r="B151" s="17" t="s">
        <v>519</v>
      </c>
      <c r="C151" s="17" t="s">
        <v>495</v>
      </c>
      <c r="D151" s="17">
        <v>2</v>
      </c>
      <c r="E151" s="17" t="s">
        <v>121</v>
      </c>
      <c r="F151" s="17"/>
    </row>
    <row r="152" spans="1:6" x14ac:dyDescent="0.35">
      <c r="A152" s="12" t="s">
        <v>7</v>
      </c>
      <c r="B152" s="13" t="s">
        <v>519</v>
      </c>
      <c r="C152" s="13" t="s">
        <v>495</v>
      </c>
      <c r="D152" s="13">
        <v>3</v>
      </c>
      <c r="E152" s="13" t="s">
        <v>223</v>
      </c>
      <c r="F152" s="13"/>
    </row>
    <row r="153" spans="1:6" x14ac:dyDescent="0.35">
      <c r="A153" s="16" t="s">
        <v>7</v>
      </c>
      <c r="B153" s="17" t="s">
        <v>519</v>
      </c>
      <c r="C153" s="17" t="s">
        <v>495</v>
      </c>
      <c r="D153" s="17">
        <v>4</v>
      </c>
      <c r="E153" s="17" t="s">
        <v>13</v>
      </c>
      <c r="F153" s="17"/>
    </row>
    <row r="154" spans="1:6" x14ac:dyDescent="0.35">
      <c r="A154" s="12" t="s">
        <v>7</v>
      </c>
      <c r="B154" s="13" t="s">
        <v>519</v>
      </c>
      <c r="C154" s="13" t="s">
        <v>495</v>
      </c>
      <c r="D154" s="13">
        <v>5</v>
      </c>
      <c r="E154" s="13" t="s">
        <v>423</v>
      </c>
      <c r="F154" s="13"/>
    </row>
    <row r="155" spans="1:6" x14ac:dyDescent="0.35">
      <c r="A155" s="16" t="s">
        <v>7</v>
      </c>
      <c r="B155" s="17" t="s">
        <v>519</v>
      </c>
      <c r="C155" s="17" t="s">
        <v>498</v>
      </c>
      <c r="D155" s="17">
        <v>1</v>
      </c>
      <c r="E155" s="17" t="s">
        <v>47</v>
      </c>
      <c r="F155" s="17"/>
    </row>
    <row r="156" spans="1:6" x14ac:dyDescent="0.35">
      <c r="A156" s="12" t="s">
        <v>7</v>
      </c>
      <c r="B156" s="13" t="s">
        <v>519</v>
      </c>
      <c r="C156" s="13" t="s">
        <v>498</v>
      </c>
      <c r="D156" s="13">
        <v>2</v>
      </c>
      <c r="E156" s="13" t="s">
        <v>20</v>
      </c>
      <c r="F156" s="13"/>
    </row>
    <row r="157" spans="1:6" x14ac:dyDescent="0.35">
      <c r="A157" s="16" t="s">
        <v>7</v>
      </c>
      <c r="B157" s="17" t="s">
        <v>519</v>
      </c>
      <c r="C157" s="17" t="s">
        <v>498</v>
      </c>
      <c r="D157" s="17">
        <v>3</v>
      </c>
      <c r="E157" s="17" t="s">
        <v>232</v>
      </c>
      <c r="F157" s="17"/>
    </row>
    <row r="158" spans="1:6" x14ac:dyDescent="0.35">
      <c r="A158" s="12" t="s">
        <v>7</v>
      </c>
      <c r="B158" s="13" t="s">
        <v>519</v>
      </c>
      <c r="C158" s="13" t="s">
        <v>498</v>
      </c>
      <c r="D158" s="13">
        <v>4</v>
      </c>
      <c r="E158" s="13" t="s">
        <v>387</v>
      </c>
      <c r="F158" s="13"/>
    </row>
    <row r="159" spans="1:6" x14ac:dyDescent="0.35">
      <c r="A159" s="16" t="s">
        <v>7</v>
      </c>
      <c r="B159" s="17" t="s">
        <v>519</v>
      </c>
      <c r="C159" s="17" t="s">
        <v>498</v>
      </c>
      <c r="D159" s="17">
        <v>5</v>
      </c>
      <c r="E159" s="17" t="s">
        <v>174</v>
      </c>
      <c r="F159" s="17"/>
    </row>
    <row r="160" spans="1:6" x14ac:dyDescent="0.35">
      <c r="A160" s="12" t="s">
        <v>7</v>
      </c>
      <c r="B160" s="13" t="s">
        <v>519</v>
      </c>
      <c r="C160" s="13" t="s">
        <v>499</v>
      </c>
      <c r="D160" s="13">
        <v>1</v>
      </c>
      <c r="E160" s="13" t="s">
        <v>35</v>
      </c>
      <c r="F160" s="13"/>
    </row>
    <row r="161" spans="1:6" x14ac:dyDescent="0.35">
      <c r="A161" s="16" t="s">
        <v>7</v>
      </c>
      <c r="B161" s="17" t="s">
        <v>519</v>
      </c>
      <c r="C161" s="17" t="s">
        <v>499</v>
      </c>
      <c r="D161" s="17">
        <v>2</v>
      </c>
      <c r="E161" s="17" t="s">
        <v>163</v>
      </c>
      <c r="F161" s="17"/>
    </row>
    <row r="162" spans="1:6" x14ac:dyDescent="0.35">
      <c r="A162" s="12" t="s">
        <v>7</v>
      </c>
      <c r="B162" s="13" t="s">
        <v>519</v>
      </c>
      <c r="C162" s="13" t="s">
        <v>499</v>
      </c>
      <c r="D162" s="13">
        <v>3</v>
      </c>
      <c r="E162" s="13" t="s">
        <v>224</v>
      </c>
      <c r="F162" s="13"/>
    </row>
    <row r="163" spans="1:6" x14ac:dyDescent="0.35">
      <c r="A163" s="16" t="s">
        <v>7</v>
      </c>
      <c r="B163" s="17" t="s">
        <v>519</v>
      </c>
      <c r="C163" s="17" t="s">
        <v>499</v>
      </c>
      <c r="D163" s="17">
        <v>4</v>
      </c>
      <c r="E163" s="17" t="s">
        <v>158</v>
      </c>
      <c r="F163" s="17"/>
    </row>
    <row r="164" spans="1:6" x14ac:dyDescent="0.35">
      <c r="A164" s="12" t="s">
        <v>7</v>
      </c>
      <c r="B164" s="13" t="s">
        <v>519</v>
      </c>
      <c r="C164" s="13" t="s">
        <v>496</v>
      </c>
      <c r="D164" s="13">
        <v>1</v>
      </c>
      <c r="E164" s="13" t="s">
        <v>50</v>
      </c>
      <c r="F164" s="13"/>
    </row>
    <row r="165" spans="1:6" x14ac:dyDescent="0.35">
      <c r="A165" s="16" t="s">
        <v>7</v>
      </c>
      <c r="B165" s="17" t="s">
        <v>519</v>
      </c>
      <c r="C165" s="17" t="s">
        <v>496</v>
      </c>
      <c r="D165" s="17">
        <v>2</v>
      </c>
      <c r="E165" s="17" t="s">
        <v>48</v>
      </c>
      <c r="F165" s="17"/>
    </row>
    <row r="166" spans="1:6" x14ac:dyDescent="0.35">
      <c r="A166" s="12" t="s">
        <v>7</v>
      </c>
      <c r="B166" s="13" t="s">
        <v>519</v>
      </c>
      <c r="C166" s="13" t="s">
        <v>496</v>
      </c>
      <c r="D166" s="13">
        <v>3</v>
      </c>
      <c r="E166" s="13" t="s">
        <v>175</v>
      </c>
      <c r="F166" s="13"/>
    </row>
    <row r="167" spans="1:6" x14ac:dyDescent="0.35">
      <c r="A167" s="16" t="s">
        <v>7</v>
      </c>
      <c r="B167" s="17" t="s">
        <v>519</v>
      </c>
      <c r="C167" s="17" t="s">
        <v>496</v>
      </c>
      <c r="D167" s="17">
        <v>4</v>
      </c>
      <c r="E167" s="17" t="s">
        <v>28</v>
      </c>
      <c r="F167" s="17"/>
    </row>
    <row r="168" spans="1:6" x14ac:dyDescent="0.35">
      <c r="A168" s="12" t="s">
        <v>7</v>
      </c>
      <c r="B168" s="13" t="s">
        <v>519</v>
      </c>
      <c r="C168" s="13" t="s">
        <v>496</v>
      </c>
      <c r="D168" s="13">
        <v>5</v>
      </c>
      <c r="E168" s="13" t="s">
        <v>204</v>
      </c>
      <c r="F168" s="13"/>
    </row>
    <row r="169" spans="1:6" x14ac:dyDescent="0.35">
      <c r="A169" s="16" t="s">
        <v>7</v>
      </c>
      <c r="B169" s="17" t="s">
        <v>519</v>
      </c>
      <c r="C169" s="17" t="s">
        <v>496</v>
      </c>
      <c r="D169" s="17">
        <v>6</v>
      </c>
      <c r="E169" s="17" t="s">
        <v>26</v>
      </c>
      <c r="F169" s="17"/>
    </row>
    <row r="170" spans="1:6" x14ac:dyDescent="0.35">
      <c r="A170" s="12" t="s">
        <v>7</v>
      </c>
      <c r="B170" s="13" t="s">
        <v>519</v>
      </c>
      <c r="C170" s="13" t="s">
        <v>496</v>
      </c>
      <c r="D170" s="13">
        <v>7</v>
      </c>
      <c r="E170" s="13" t="s">
        <v>338</v>
      </c>
      <c r="F170" s="13"/>
    </row>
    <row r="171" spans="1:6" x14ac:dyDescent="0.35">
      <c r="A171" s="16" t="s">
        <v>7</v>
      </c>
      <c r="B171" s="17" t="s">
        <v>519</v>
      </c>
      <c r="C171" s="17" t="s">
        <v>496</v>
      </c>
      <c r="D171" s="17">
        <v>8</v>
      </c>
      <c r="E171" s="17" t="s">
        <v>182</v>
      </c>
      <c r="F171" s="17"/>
    </row>
    <row r="172" spans="1:6" x14ac:dyDescent="0.35">
      <c r="A172" s="12" t="s">
        <v>7</v>
      </c>
      <c r="B172" s="13" t="s">
        <v>519</v>
      </c>
      <c r="C172" s="13" t="s">
        <v>496</v>
      </c>
      <c r="D172" s="13">
        <v>9</v>
      </c>
      <c r="E172" s="13" t="s">
        <v>30</v>
      </c>
      <c r="F172" s="13"/>
    </row>
    <row r="173" spans="1:6" x14ac:dyDescent="0.35">
      <c r="A173" s="16" t="s">
        <v>7</v>
      </c>
      <c r="B173" s="17" t="s">
        <v>519</v>
      </c>
      <c r="C173" s="17" t="s">
        <v>500</v>
      </c>
      <c r="D173" s="17">
        <v>1</v>
      </c>
      <c r="E173" s="17" t="s">
        <v>34</v>
      </c>
      <c r="F173" s="17"/>
    </row>
    <row r="174" spans="1:6" x14ac:dyDescent="0.35">
      <c r="A174" s="12" t="s">
        <v>7</v>
      </c>
      <c r="B174" s="13" t="s">
        <v>519</v>
      </c>
      <c r="C174" s="13" t="s">
        <v>500</v>
      </c>
      <c r="D174" s="13">
        <v>2</v>
      </c>
      <c r="E174" s="13" t="s">
        <v>459</v>
      </c>
      <c r="F174" s="13"/>
    </row>
    <row r="175" spans="1:6" x14ac:dyDescent="0.35">
      <c r="A175" s="16" t="s">
        <v>7</v>
      </c>
      <c r="B175" s="17" t="s">
        <v>519</v>
      </c>
      <c r="C175" s="17" t="s">
        <v>500</v>
      </c>
      <c r="D175" s="17">
        <v>3</v>
      </c>
      <c r="E175" s="17" t="s">
        <v>43</v>
      </c>
      <c r="F175" s="17"/>
    </row>
    <row r="176" spans="1:6" x14ac:dyDescent="0.35">
      <c r="A176" s="12" t="s">
        <v>7</v>
      </c>
      <c r="B176" s="13" t="s">
        <v>519</v>
      </c>
      <c r="C176" s="13" t="s">
        <v>500</v>
      </c>
      <c r="D176" s="13">
        <v>4</v>
      </c>
      <c r="E176" s="13" t="s">
        <v>468</v>
      </c>
      <c r="F176" s="13"/>
    </row>
    <row r="177" spans="1:6" x14ac:dyDescent="0.35">
      <c r="A177" s="16" t="s">
        <v>7</v>
      </c>
      <c r="B177" s="17" t="s">
        <v>519</v>
      </c>
      <c r="C177" s="17" t="s">
        <v>497</v>
      </c>
      <c r="D177" s="17">
        <v>1</v>
      </c>
      <c r="E177" s="17" t="s">
        <v>482</v>
      </c>
      <c r="F177" s="17"/>
    </row>
    <row r="178" spans="1:6" x14ac:dyDescent="0.35">
      <c r="A178" s="12" t="s">
        <v>7</v>
      </c>
      <c r="B178" s="13" t="s">
        <v>519</v>
      </c>
      <c r="C178" s="13" t="s">
        <v>497</v>
      </c>
      <c r="D178" s="13">
        <v>2</v>
      </c>
      <c r="E178" s="13" t="s">
        <v>269</v>
      </c>
      <c r="F178" s="13"/>
    </row>
    <row r="179" spans="1:6" x14ac:dyDescent="0.35">
      <c r="A179" s="16" t="s">
        <v>7</v>
      </c>
      <c r="B179" s="17" t="s">
        <v>519</v>
      </c>
      <c r="C179" s="17" t="s">
        <v>497</v>
      </c>
      <c r="D179" s="17">
        <v>3</v>
      </c>
      <c r="E179" s="17" t="s">
        <v>360</v>
      </c>
      <c r="F179" s="17"/>
    </row>
    <row r="180" spans="1:6" x14ac:dyDescent="0.35">
      <c r="A180" s="12" t="s">
        <v>7</v>
      </c>
      <c r="B180" s="13" t="s">
        <v>519</v>
      </c>
      <c r="C180" s="13" t="s">
        <v>497</v>
      </c>
      <c r="D180" s="13">
        <v>4</v>
      </c>
      <c r="E180" s="13" t="s">
        <v>444</v>
      </c>
      <c r="F180" s="13"/>
    </row>
    <row r="181" spans="1:6" x14ac:dyDescent="0.35">
      <c r="A181" s="16" t="s">
        <v>7</v>
      </c>
      <c r="B181" s="17" t="s">
        <v>519</v>
      </c>
      <c r="C181" s="17" t="s">
        <v>497</v>
      </c>
      <c r="D181" s="17">
        <v>5</v>
      </c>
      <c r="E181" s="17" t="s">
        <v>198</v>
      </c>
      <c r="F181" s="17"/>
    </row>
    <row r="182" spans="1:6" x14ac:dyDescent="0.35">
      <c r="A182" s="12" t="s">
        <v>7</v>
      </c>
      <c r="B182" s="13" t="s">
        <v>519</v>
      </c>
      <c r="C182" s="13" t="s">
        <v>497</v>
      </c>
      <c r="D182" s="13">
        <v>6</v>
      </c>
      <c r="E182" s="13" t="s">
        <v>51</v>
      </c>
      <c r="F182" s="13"/>
    </row>
    <row r="183" spans="1:6" x14ac:dyDescent="0.35">
      <c r="A183" s="16" t="s">
        <v>7</v>
      </c>
      <c r="B183" s="17" t="s">
        <v>519</v>
      </c>
      <c r="C183" s="17" t="s">
        <v>497</v>
      </c>
      <c r="D183" s="17">
        <v>7</v>
      </c>
      <c r="E183" s="17" t="s">
        <v>354</v>
      </c>
      <c r="F183" s="17"/>
    </row>
    <row r="184" spans="1:6" x14ac:dyDescent="0.35">
      <c r="A184" s="12" t="s">
        <v>7</v>
      </c>
      <c r="B184" s="13" t="s">
        <v>519</v>
      </c>
      <c r="C184" s="13" t="s">
        <v>497</v>
      </c>
      <c r="D184" s="13">
        <v>8</v>
      </c>
      <c r="E184" s="13" t="s">
        <v>280</v>
      </c>
      <c r="F184" s="13"/>
    </row>
    <row r="185" spans="1:6" x14ac:dyDescent="0.35">
      <c r="A185" s="16" t="s">
        <v>7</v>
      </c>
      <c r="B185" s="17" t="s">
        <v>519</v>
      </c>
      <c r="C185" s="17" t="s">
        <v>497</v>
      </c>
      <c r="D185" s="17">
        <v>9</v>
      </c>
      <c r="E185" s="17" t="s">
        <v>417</v>
      </c>
      <c r="F185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271D7-12BF-4CCC-A444-4BF776DC5001}">
  <dimension ref="A1:E93"/>
  <sheetViews>
    <sheetView workbookViewId="0">
      <selection activeCell="F7" sqref="F7"/>
    </sheetView>
  </sheetViews>
  <sheetFormatPr defaultRowHeight="14.5" x14ac:dyDescent="0.35"/>
  <cols>
    <col min="1" max="1" width="11.453125" customWidth="1"/>
    <col min="3" max="3" width="8.26953125" bestFit="1" customWidth="1"/>
    <col min="4" max="4" width="21.1796875" customWidth="1"/>
    <col min="5" max="5" width="12" customWidth="1"/>
  </cols>
  <sheetData>
    <row r="1" spans="1:5" ht="18" customHeight="1" x14ac:dyDescent="0.35">
      <c r="A1" s="37" t="s">
        <v>536</v>
      </c>
    </row>
    <row r="2" spans="1:5" ht="18" customHeight="1" x14ac:dyDescent="0.35">
      <c r="A2" s="37" t="s">
        <v>537</v>
      </c>
    </row>
    <row r="3" spans="1:5" ht="18" customHeight="1" x14ac:dyDescent="0.35">
      <c r="A3" s="37" t="s">
        <v>538</v>
      </c>
    </row>
    <row r="4" spans="1:5" ht="18" customHeight="1" x14ac:dyDescent="0.35">
      <c r="A4" s="37" t="s">
        <v>535</v>
      </c>
    </row>
    <row r="5" spans="1:5" ht="18" customHeight="1" x14ac:dyDescent="0.35">
      <c r="A5" s="37" t="s">
        <v>539</v>
      </c>
    </row>
    <row r="6" spans="1:5" ht="18" customHeight="1" x14ac:dyDescent="0.35"/>
    <row r="7" spans="1:5" x14ac:dyDescent="0.35">
      <c r="A7" t="s">
        <v>534</v>
      </c>
      <c r="B7" t="s">
        <v>3</v>
      </c>
      <c r="C7" t="s">
        <v>0</v>
      </c>
      <c r="D7" t="s">
        <v>5</v>
      </c>
      <c r="E7" t="s">
        <v>6</v>
      </c>
    </row>
    <row r="8" spans="1:5" hidden="1" x14ac:dyDescent="0.35">
      <c r="A8" t="s">
        <v>52</v>
      </c>
      <c r="B8" t="s">
        <v>8</v>
      </c>
      <c r="C8" s="31">
        <v>1</v>
      </c>
      <c r="D8" t="s">
        <v>167</v>
      </c>
      <c r="E8" t="s">
        <v>168</v>
      </c>
    </row>
    <row r="9" spans="1:5" hidden="1" x14ac:dyDescent="0.35">
      <c r="A9" t="s">
        <v>52</v>
      </c>
      <c r="B9" t="s">
        <v>8</v>
      </c>
      <c r="C9" s="33">
        <v>2</v>
      </c>
      <c r="D9" t="s">
        <v>56</v>
      </c>
      <c r="E9" t="s">
        <v>337</v>
      </c>
    </row>
    <row r="10" spans="1:5" hidden="1" x14ac:dyDescent="0.35">
      <c r="A10" t="s">
        <v>52</v>
      </c>
      <c r="B10" t="s">
        <v>8</v>
      </c>
      <c r="C10" s="35">
        <v>3</v>
      </c>
      <c r="D10" t="s">
        <v>57</v>
      </c>
      <c r="E10" t="s">
        <v>177</v>
      </c>
    </row>
    <row r="11" spans="1:5" hidden="1" x14ac:dyDescent="0.35">
      <c r="A11" t="s">
        <v>52</v>
      </c>
      <c r="B11" t="s">
        <v>12</v>
      </c>
      <c r="C11" s="31">
        <v>1</v>
      </c>
      <c r="D11" t="s">
        <v>137</v>
      </c>
      <c r="E11" t="s">
        <v>168</v>
      </c>
    </row>
    <row r="12" spans="1:5" hidden="1" x14ac:dyDescent="0.35">
      <c r="A12" t="s">
        <v>52</v>
      </c>
      <c r="B12" t="s">
        <v>12</v>
      </c>
      <c r="C12" s="33">
        <v>2</v>
      </c>
      <c r="D12" t="s">
        <v>13</v>
      </c>
      <c r="E12" t="s">
        <v>260</v>
      </c>
    </row>
    <row r="13" spans="1:5" hidden="1" x14ac:dyDescent="0.35">
      <c r="A13" t="s">
        <v>52</v>
      </c>
      <c r="B13" t="s">
        <v>12</v>
      </c>
      <c r="C13" s="35">
        <v>3</v>
      </c>
      <c r="D13" t="s">
        <v>93</v>
      </c>
      <c r="E13" t="s">
        <v>312</v>
      </c>
    </row>
    <row r="14" spans="1:5" hidden="1" x14ac:dyDescent="0.35">
      <c r="A14" t="s">
        <v>52</v>
      </c>
      <c r="B14" t="s">
        <v>25</v>
      </c>
      <c r="C14" s="31">
        <v>1</v>
      </c>
      <c r="D14" t="s">
        <v>81</v>
      </c>
      <c r="E14" t="s">
        <v>312</v>
      </c>
    </row>
    <row r="15" spans="1:5" hidden="1" x14ac:dyDescent="0.35">
      <c r="A15" t="s">
        <v>52</v>
      </c>
      <c r="B15" t="s">
        <v>25</v>
      </c>
      <c r="C15" s="33">
        <v>2</v>
      </c>
      <c r="D15" t="s">
        <v>82</v>
      </c>
      <c r="E15" t="s">
        <v>350</v>
      </c>
    </row>
    <row r="16" spans="1:5" hidden="1" x14ac:dyDescent="0.35">
      <c r="A16" t="s">
        <v>52</v>
      </c>
      <c r="B16" t="s">
        <v>25</v>
      </c>
      <c r="C16" s="35">
        <v>3</v>
      </c>
      <c r="D16" t="s">
        <v>28</v>
      </c>
      <c r="E16" t="s">
        <v>271</v>
      </c>
    </row>
    <row r="17" spans="1:5" hidden="1" x14ac:dyDescent="0.35">
      <c r="A17" t="s">
        <v>52</v>
      </c>
      <c r="B17" t="s">
        <v>37</v>
      </c>
      <c r="C17" s="31">
        <v>1</v>
      </c>
      <c r="D17" t="s">
        <v>71</v>
      </c>
      <c r="E17" t="s">
        <v>178</v>
      </c>
    </row>
    <row r="18" spans="1:5" hidden="1" x14ac:dyDescent="0.35">
      <c r="A18" t="s">
        <v>52</v>
      </c>
      <c r="B18" t="s">
        <v>37</v>
      </c>
      <c r="C18" s="33">
        <v>2</v>
      </c>
      <c r="D18" t="s">
        <v>69</v>
      </c>
      <c r="E18" t="s">
        <v>298</v>
      </c>
    </row>
    <row r="19" spans="1:5" hidden="1" x14ac:dyDescent="0.35">
      <c r="A19" t="s">
        <v>52</v>
      </c>
      <c r="B19" t="s">
        <v>37</v>
      </c>
      <c r="C19" s="35">
        <v>3</v>
      </c>
      <c r="D19" t="s">
        <v>48</v>
      </c>
      <c r="E19" t="s">
        <v>260</v>
      </c>
    </row>
    <row r="20" spans="1:5" hidden="1" x14ac:dyDescent="0.35">
      <c r="A20" t="s">
        <v>52</v>
      </c>
      <c r="B20" t="s">
        <v>17</v>
      </c>
      <c r="C20" s="31">
        <v>1</v>
      </c>
      <c r="D20" t="s">
        <v>54</v>
      </c>
      <c r="E20" t="s">
        <v>313</v>
      </c>
    </row>
    <row r="21" spans="1:5" hidden="1" x14ac:dyDescent="0.35">
      <c r="A21" t="s">
        <v>52</v>
      </c>
      <c r="B21" t="s">
        <v>17</v>
      </c>
      <c r="C21" s="33">
        <v>2</v>
      </c>
      <c r="D21" t="s">
        <v>53</v>
      </c>
      <c r="E21" t="s">
        <v>168</v>
      </c>
    </row>
    <row r="22" spans="1:5" hidden="1" x14ac:dyDescent="0.35">
      <c r="A22" t="s">
        <v>52</v>
      </c>
      <c r="B22" t="s">
        <v>17</v>
      </c>
      <c r="C22" s="35">
        <v>3</v>
      </c>
      <c r="D22" t="s">
        <v>183</v>
      </c>
      <c r="E22" t="s">
        <v>168</v>
      </c>
    </row>
    <row r="23" spans="1:5" hidden="1" x14ac:dyDescent="0.35">
      <c r="A23" t="s">
        <v>52</v>
      </c>
      <c r="B23" t="s">
        <v>19</v>
      </c>
      <c r="C23" s="31">
        <v>1</v>
      </c>
      <c r="D23" t="s">
        <v>61</v>
      </c>
      <c r="E23" t="s">
        <v>177</v>
      </c>
    </row>
    <row r="24" spans="1:5" hidden="1" x14ac:dyDescent="0.35">
      <c r="A24" t="s">
        <v>52</v>
      </c>
      <c r="B24" t="s">
        <v>19</v>
      </c>
      <c r="C24" s="33">
        <v>2</v>
      </c>
      <c r="D24" t="s">
        <v>20</v>
      </c>
      <c r="E24" t="s">
        <v>271</v>
      </c>
    </row>
    <row r="25" spans="1:5" hidden="1" x14ac:dyDescent="0.35">
      <c r="A25" t="s">
        <v>52</v>
      </c>
      <c r="B25" t="s">
        <v>19</v>
      </c>
      <c r="C25" s="35">
        <v>3</v>
      </c>
      <c r="D25" t="s">
        <v>173</v>
      </c>
      <c r="E25" t="s">
        <v>168</v>
      </c>
    </row>
    <row r="26" spans="1:5" hidden="1" x14ac:dyDescent="0.35">
      <c r="A26" t="s">
        <v>52</v>
      </c>
      <c r="B26" t="s">
        <v>31</v>
      </c>
      <c r="C26" s="31">
        <v>1</v>
      </c>
      <c r="D26" t="s">
        <v>163</v>
      </c>
      <c r="E26" t="s">
        <v>168</v>
      </c>
    </row>
    <row r="27" spans="1:5" hidden="1" x14ac:dyDescent="0.35">
      <c r="A27" t="s">
        <v>52</v>
      </c>
      <c r="B27" t="s">
        <v>31</v>
      </c>
      <c r="C27" s="33">
        <v>2</v>
      </c>
      <c r="D27" t="s">
        <v>162</v>
      </c>
      <c r="E27" t="s">
        <v>168</v>
      </c>
    </row>
    <row r="28" spans="1:5" hidden="1" x14ac:dyDescent="0.35">
      <c r="A28" t="s">
        <v>52</v>
      </c>
      <c r="B28" t="s">
        <v>31</v>
      </c>
      <c r="C28" s="35">
        <v>3</v>
      </c>
      <c r="D28" t="s">
        <v>187</v>
      </c>
      <c r="E28" t="s">
        <v>168</v>
      </c>
    </row>
    <row r="29" spans="1:5" hidden="1" x14ac:dyDescent="0.35">
      <c r="A29" t="s">
        <v>52</v>
      </c>
      <c r="B29" t="s">
        <v>33</v>
      </c>
      <c r="C29" s="31">
        <v>1</v>
      </c>
      <c r="D29" t="s">
        <v>209</v>
      </c>
      <c r="E29" t="s">
        <v>176</v>
      </c>
    </row>
    <row r="30" spans="1:5" hidden="1" x14ac:dyDescent="0.35">
      <c r="A30" t="s">
        <v>52</v>
      </c>
      <c r="B30" t="s">
        <v>33</v>
      </c>
      <c r="C30" s="33">
        <v>2</v>
      </c>
      <c r="D30" t="s">
        <v>190</v>
      </c>
      <c r="E30" t="s">
        <v>407</v>
      </c>
    </row>
    <row r="31" spans="1:5" hidden="1" x14ac:dyDescent="0.35">
      <c r="A31" t="s">
        <v>52</v>
      </c>
      <c r="B31" t="s">
        <v>33</v>
      </c>
      <c r="C31" s="35">
        <v>3</v>
      </c>
      <c r="D31" t="s">
        <v>68</v>
      </c>
      <c r="E31" t="s">
        <v>298</v>
      </c>
    </row>
    <row r="32" spans="1:5" hidden="1" x14ac:dyDescent="0.35">
      <c r="A32" t="s">
        <v>7</v>
      </c>
      <c r="B32" t="s">
        <v>8</v>
      </c>
      <c r="C32" s="31">
        <v>1</v>
      </c>
      <c r="D32" t="s">
        <v>9</v>
      </c>
      <c r="E32" t="s">
        <v>268</v>
      </c>
    </row>
    <row r="33" spans="1:5" hidden="1" x14ac:dyDescent="0.35">
      <c r="A33" t="s">
        <v>7</v>
      </c>
      <c r="B33" t="s">
        <v>8</v>
      </c>
      <c r="C33" s="33">
        <v>2</v>
      </c>
      <c r="D33" t="s">
        <v>10</v>
      </c>
      <c r="E33" t="s">
        <v>169</v>
      </c>
    </row>
    <row r="34" spans="1:5" hidden="1" x14ac:dyDescent="0.35">
      <c r="A34" t="s">
        <v>7</v>
      </c>
      <c r="B34" t="s">
        <v>8</v>
      </c>
      <c r="C34" s="35">
        <v>3</v>
      </c>
      <c r="D34" t="s">
        <v>105</v>
      </c>
      <c r="E34" t="s">
        <v>476</v>
      </c>
    </row>
    <row r="35" spans="1:5" hidden="1" x14ac:dyDescent="0.35">
      <c r="A35" t="s">
        <v>7</v>
      </c>
      <c r="B35" t="s">
        <v>12</v>
      </c>
      <c r="C35" s="31">
        <v>1</v>
      </c>
      <c r="D35" t="s">
        <v>16</v>
      </c>
      <c r="E35" t="s">
        <v>177</v>
      </c>
    </row>
    <row r="36" spans="1:5" hidden="1" x14ac:dyDescent="0.35">
      <c r="A36" t="s">
        <v>7</v>
      </c>
      <c r="B36" t="s">
        <v>12</v>
      </c>
      <c r="C36" s="33">
        <v>2</v>
      </c>
      <c r="D36" t="s">
        <v>15</v>
      </c>
      <c r="E36" t="s">
        <v>178</v>
      </c>
    </row>
    <row r="37" spans="1:5" hidden="1" x14ac:dyDescent="0.35">
      <c r="A37" t="s">
        <v>7</v>
      </c>
      <c r="B37" t="s">
        <v>12</v>
      </c>
      <c r="C37" s="35">
        <v>3</v>
      </c>
      <c r="D37" t="s">
        <v>13</v>
      </c>
      <c r="E37" t="s">
        <v>260</v>
      </c>
    </row>
    <row r="38" spans="1:5" hidden="1" x14ac:dyDescent="0.35">
      <c r="A38" t="s">
        <v>7</v>
      </c>
      <c r="B38" t="s">
        <v>25</v>
      </c>
      <c r="C38" s="31">
        <v>1</v>
      </c>
      <c r="D38" t="s">
        <v>26</v>
      </c>
      <c r="E38" t="s">
        <v>271</v>
      </c>
    </row>
    <row r="39" spans="1:5" hidden="1" x14ac:dyDescent="0.35">
      <c r="A39" t="s">
        <v>7</v>
      </c>
      <c r="B39" t="s">
        <v>25</v>
      </c>
      <c r="C39" s="33">
        <v>2</v>
      </c>
      <c r="D39" t="s">
        <v>28</v>
      </c>
      <c r="E39" t="s">
        <v>271</v>
      </c>
    </row>
    <row r="40" spans="1:5" hidden="1" x14ac:dyDescent="0.35">
      <c r="A40" t="s">
        <v>7</v>
      </c>
      <c r="B40" t="s">
        <v>25</v>
      </c>
      <c r="C40" s="35">
        <v>3</v>
      </c>
      <c r="D40" t="s">
        <v>27</v>
      </c>
      <c r="E40" t="s">
        <v>177</v>
      </c>
    </row>
    <row r="41" spans="1:5" hidden="1" x14ac:dyDescent="0.35">
      <c r="A41" t="s">
        <v>7</v>
      </c>
      <c r="B41" t="s">
        <v>37</v>
      </c>
      <c r="C41" s="31">
        <v>1</v>
      </c>
      <c r="D41" t="s">
        <v>39</v>
      </c>
      <c r="E41" t="s">
        <v>177</v>
      </c>
    </row>
    <row r="42" spans="1:5" hidden="1" x14ac:dyDescent="0.35">
      <c r="A42" t="s">
        <v>7</v>
      </c>
      <c r="B42" t="s">
        <v>37</v>
      </c>
      <c r="C42" s="33">
        <v>2</v>
      </c>
      <c r="D42" t="s">
        <v>40</v>
      </c>
      <c r="E42" t="s">
        <v>177</v>
      </c>
    </row>
    <row r="43" spans="1:5" hidden="1" x14ac:dyDescent="0.35">
      <c r="A43" t="s">
        <v>7</v>
      </c>
      <c r="B43" t="s">
        <v>37</v>
      </c>
      <c r="C43" s="35">
        <v>3</v>
      </c>
      <c r="D43" t="s">
        <v>38</v>
      </c>
      <c r="E43" t="s">
        <v>177</v>
      </c>
    </row>
    <row r="44" spans="1:5" hidden="1" x14ac:dyDescent="0.35">
      <c r="A44" t="s">
        <v>7</v>
      </c>
      <c r="B44" t="s">
        <v>17</v>
      </c>
      <c r="C44" s="31">
        <v>1</v>
      </c>
      <c r="D44" t="s">
        <v>165</v>
      </c>
      <c r="E44" t="s">
        <v>268</v>
      </c>
    </row>
    <row r="45" spans="1:5" x14ac:dyDescent="0.35">
      <c r="A45" t="s">
        <v>7</v>
      </c>
      <c r="B45" t="s">
        <v>17</v>
      </c>
      <c r="C45" s="33">
        <v>2</v>
      </c>
      <c r="D45" t="s">
        <v>166</v>
      </c>
      <c r="E45" t="s">
        <v>335</v>
      </c>
    </row>
    <row r="46" spans="1:5" hidden="1" x14ac:dyDescent="0.35">
      <c r="A46" t="s">
        <v>7</v>
      </c>
      <c r="B46" t="s">
        <v>17</v>
      </c>
      <c r="C46" s="35">
        <v>3</v>
      </c>
      <c r="D46" t="s">
        <v>18</v>
      </c>
      <c r="E46" t="s">
        <v>172</v>
      </c>
    </row>
    <row r="47" spans="1:5" hidden="1" x14ac:dyDescent="0.35">
      <c r="A47" t="s">
        <v>7</v>
      </c>
      <c r="B47" t="s">
        <v>19</v>
      </c>
      <c r="C47" s="31">
        <v>1</v>
      </c>
      <c r="D47" t="s">
        <v>20</v>
      </c>
      <c r="E47" t="s">
        <v>271</v>
      </c>
    </row>
    <row r="48" spans="1:5" hidden="1" x14ac:dyDescent="0.35">
      <c r="A48" t="s">
        <v>7</v>
      </c>
      <c r="B48" t="s">
        <v>19</v>
      </c>
      <c r="C48" s="33">
        <v>2</v>
      </c>
      <c r="D48" t="s">
        <v>173</v>
      </c>
      <c r="E48" t="s">
        <v>168</v>
      </c>
    </row>
    <row r="49" spans="1:5" hidden="1" x14ac:dyDescent="0.35">
      <c r="A49" t="s">
        <v>7</v>
      </c>
      <c r="B49" t="s">
        <v>19</v>
      </c>
      <c r="C49" s="35">
        <v>3</v>
      </c>
      <c r="D49" t="s">
        <v>22</v>
      </c>
      <c r="E49" t="s">
        <v>169</v>
      </c>
    </row>
    <row r="50" spans="1:5" hidden="1" x14ac:dyDescent="0.35">
      <c r="A50" t="s">
        <v>7</v>
      </c>
      <c r="B50" t="s">
        <v>31</v>
      </c>
      <c r="C50" s="31">
        <v>1</v>
      </c>
      <c r="D50" t="s">
        <v>32</v>
      </c>
      <c r="E50" t="s">
        <v>177</v>
      </c>
    </row>
    <row r="51" spans="1:5" hidden="1" x14ac:dyDescent="0.35">
      <c r="A51" t="s">
        <v>7</v>
      </c>
      <c r="B51" t="s">
        <v>31</v>
      </c>
      <c r="C51" s="33">
        <v>2</v>
      </c>
      <c r="D51" t="s">
        <v>35</v>
      </c>
      <c r="E51" t="s">
        <v>176</v>
      </c>
    </row>
    <row r="52" spans="1:5" hidden="1" x14ac:dyDescent="0.35">
      <c r="A52" t="s">
        <v>7</v>
      </c>
      <c r="B52" t="s">
        <v>31</v>
      </c>
      <c r="C52" s="35">
        <v>3</v>
      </c>
      <c r="D52" t="s">
        <v>235</v>
      </c>
      <c r="E52" t="s">
        <v>265</v>
      </c>
    </row>
    <row r="53" spans="1:5" hidden="1" x14ac:dyDescent="0.35">
      <c r="A53" t="s">
        <v>7</v>
      </c>
      <c r="B53" t="s">
        <v>33</v>
      </c>
      <c r="C53" s="31">
        <v>1</v>
      </c>
      <c r="D53" t="s">
        <v>197</v>
      </c>
      <c r="E53" t="s">
        <v>169</v>
      </c>
    </row>
    <row r="54" spans="1:5" hidden="1" x14ac:dyDescent="0.35">
      <c r="A54" t="s">
        <v>7</v>
      </c>
      <c r="B54" t="s">
        <v>33</v>
      </c>
      <c r="C54" s="33">
        <v>2</v>
      </c>
      <c r="D54" t="s">
        <v>35</v>
      </c>
      <c r="E54" t="s">
        <v>176</v>
      </c>
    </row>
    <row r="55" spans="1:5" hidden="1" x14ac:dyDescent="0.35">
      <c r="A55" t="s">
        <v>7</v>
      </c>
      <c r="B55" t="s">
        <v>33</v>
      </c>
      <c r="C55" s="35">
        <v>3</v>
      </c>
      <c r="D55" t="s">
        <v>158</v>
      </c>
      <c r="E55" t="s">
        <v>177</v>
      </c>
    </row>
    <row r="56" spans="1:5" hidden="1" x14ac:dyDescent="0.35">
      <c r="A56" t="s">
        <v>229</v>
      </c>
      <c r="B56" t="s">
        <v>8</v>
      </c>
      <c r="C56" s="32">
        <v>1</v>
      </c>
      <c r="D56" t="s">
        <v>238</v>
      </c>
      <c r="E56" t="s">
        <v>179</v>
      </c>
    </row>
    <row r="57" spans="1:5" hidden="1" x14ac:dyDescent="0.35">
      <c r="A57" t="s">
        <v>229</v>
      </c>
      <c r="B57" t="s">
        <v>8</v>
      </c>
      <c r="C57" s="34">
        <v>2</v>
      </c>
      <c r="D57" t="s">
        <v>118</v>
      </c>
      <c r="E57" t="s">
        <v>295</v>
      </c>
    </row>
    <row r="58" spans="1:5" hidden="1" x14ac:dyDescent="0.35">
      <c r="A58" t="s">
        <v>229</v>
      </c>
      <c r="B58" t="s">
        <v>8</v>
      </c>
      <c r="C58" s="36">
        <v>3</v>
      </c>
      <c r="D58" t="s">
        <v>455</v>
      </c>
      <c r="E58" t="s">
        <v>260</v>
      </c>
    </row>
    <row r="59" spans="1:5" hidden="1" x14ac:dyDescent="0.35">
      <c r="A59" t="s">
        <v>229</v>
      </c>
      <c r="B59" t="s">
        <v>12</v>
      </c>
      <c r="C59" s="32">
        <v>1</v>
      </c>
      <c r="D59" t="s">
        <v>13</v>
      </c>
      <c r="E59" t="s">
        <v>260</v>
      </c>
    </row>
    <row r="60" spans="1:5" hidden="1" x14ac:dyDescent="0.35">
      <c r="A60" t="s">
        <v>229</v>
      </c>
      <c r="B60" t="s">
        <v>12</v>
      </c>
      <c r="C60" s="34">
        <v>2</v>
      </c>
      <c r="D60" t="s">
        <v>16</v>
      </c>
      <c r="E60" t="s">
        <v>177</v>
      </c>
    </row>
    <row r="61" spans="1:5" hidden="1" x14ac:dyDescent="0.35">
      <c r="A61" t="s">
        <v>229</v>
      </c>
      <c r="B61" t="s">
        <v>25</v>
      </c>
      <c r="C61" s="32">
        <v>1</v>
      </c>
      <c r="D61" t="s">
        <v>233</v>
      </c>
      <c r="E61" t="s">
        <v>260</v>
      </c>
    </row>
    <row r="62" spans="1:5" hidden="1" x14ac:dyDescent="0.35">
      <c r="A62" t="s">
        <v>229</v>
      </c>
      <c r="B62" t="s">
        <v>25</v>
      </c>
      <c r="C62" s="34">
        <v>2</v>
      </c>
      <c r="D62" t="s">
        <v>41</v>
      </c>
      <c r="E62" t="s">
        <v>177</v>
      </c>
    </row>
    <row r="63" spans="1:5" hidden="1" x14ac:dyDescent="0.35">
      <c r="A63" t="s">
        <v>229</v>
      </c>
      <c r="B63" t="s">
        <v>25</v>
      </c>
      <c r="C63" s="36">
        <v>3</v>
      </c>
      <c r="D63" t="s">
        <v>27</v>
      </c>
      <c r="E63" t="s">
        <v>177</v>
      </c>
    </row>
    <row r="64" spans="1:5" hidden="1" x14ac:dyDescent="0.35">
      <c r="A64" t="s">
        <v>229</v>
      </c>
      <c r="B64" t="s">
        <v>37</v>
      </c>
      <c r="C64" s="32">
        <v>1</v>
      </c>
      <c r="D64" t="s">
        <v>198</v>
      </c>
      <c r="E64" t="s">
        <v>271</v>
      </c>
    </row>
    <row r="65" spans="1:5" hidden="1" x14ac:dyDescent="0.35">
      <c r="A65" t="s">
        <v>229</v>
      </c>
      <c r="B65" t="s">
        <v>37</v>
      </c>
      <c r="C65" s="34">
        <v>2</v>
      </c>
      <c r="D65" t="s">
        <v>50</v>
      </c>
      <c r="E65" t="s">
        <v>179</v>
      </c>
    </row>
    <row r="66" spans="1:5" hidden="1" x14ac:dyDescent="0.35">
      <c r="A66" t="s">
        <v>229</v>
      </c>
      <c r="B66" t="s">
        <v>37</v>
      </c>
      <c r="C66" s="36">
        <v>3</v>
      </c>
      <c r="D66" t="s">
        <v>49</v>
      </c>
      <c r="E66" t="s">
        <v>260</v>
      </c>
    </row>
    <row r="67" spans="1:5" hidden="1" x14ac:dyDescent="0.35">
      <c r="A67" t="s">
        <v>229</v>
      </c>
      <c r="B67" t="s">
        <v>19</v>
      </c>
      <c r="C67" s="32">
        <v>1</v>
      </c>
      <c r="D67" t="s">
        <v>231</v>
      </c>
      <c r="E67" t="s">
        <v>271</v>
      </c>
    </row>
    <row r="68" spans="1:5" hidden="1" x14ac:dyDescent="0.35">
      <c r="A68" t="s">
        <v>229</v>
      </c>
      <c r="B68" t="s">
        <v>19</v>
      </c>
      <c r="C68" s="34">
        <v>2</v>
      </c>
      <c r="D68" t="s">
        <v>61</v>
      </c>
      <c r="E68" t="s">
        <v>177</v>
      </c>
    </row>
    <row r="69" spans="1:5" hidden="1" x14ac:dyDescent="0.35">
      <c r="A69" t="s">
        <v>229</v>
      </c>
      <c r="B69" t="s">
        <v>19</v>
      </c>
      <c r="C69" s="36">
        <v>3</v>
      </c>
      <c r="D69" t="s">
        <v>23</v>
      </c>
      <c r="E69" t="s">
        <v>177</v>
      </c>
    </row>
    <row r="70" spans="1:5" hidden="1" x14ac:dyDescent="0.35">
      <c r="A70" t="s">
        <v>229</v>
      </c>
      <c r="B70" t="s">
        <v>31</v>
      </c>
      <c r="C70" s="32">
        <v>1</v>
      </c>
      <c r="D70" t="s">
        <v>232</v>
      </c>
      <c r="E70" t="s">
        <v>295</v>
      </c>
    </row>
    <row r="71" spans="1:5" hidden="1" x14ac:dyDescent="0.35">
      <c r="A71" t="s">
        <v>229</v>
      </c>
      <c r="B71" t="s">
        <v>31</v>
      </c>
      <c r="C71" s="34">
        <v>2</v>
      </c>
      <c r="D71" t="s">
        <v>422</v>
      </c>
      <c r="E71" t="s">
        <v>261</v>
      </c>
    </row>
    <row r="72" spans="1:5" hidden="1" x14ac:dyDescent="0.35">
      <c r="A72" t="s">
        <v>229</v>
      </c>
      <c r="B72" t="s">
        <v>31</v>
      </c>
      <c r="C72" s="35">
        <v>3</v>
      </c>
      <c r="D72" t="s">
        <v>32</v>
      </c>
      <c r="E72" t="s">
        <v>177</v>
      </c>
    </row>
    <row r="73" spans="1:5" hidden="1" x14ac:dyDescent="0.35">
      <c r="A73" t="s">
        <v>229</v>
      </c>
      <c r="B73" t="s">
        <v>33</v>
      </c>
      <c r="C73" s="31">
        <v>1</v>
      </c>
      <c r="D73" t="s">
        <v>36</v>
      </c>
      <c r="E73" t="s">
        <v>261</v>
      </c>
    </row>
    <row r="74" spans="1:5" hidden="1" x14ac:dyDescent="0.35">
      <c r="A74" t="s">
        <v>525</v>
      </c>
      <c r="B74" t="s">
        <v>8</v>
      </c>
      <c r="C74" s="32">
        <v>1</v>
      </c>
      <c r="D74" t="s">
        <v>11</v>
      </c>
      <c r="E74" t="s">
        <v>271</v>
      </c>
    </row>
    <row r="75" spans="1:5" hidden="1" x14ac:dyDescent="0.35">
      <c r="A75" t="s">
        <v>525</v>
      </c>
      <c r="B75" t="s">
        <v>8</v>
      </c>
      <c r="C75" s="34">
        <v>2</v>
      </c>
      <c r="D75" t="s">
        <v>45</v>
      </c>
      <c r="E75" t="s">
        <v>177</v>
      </c>
    </row>
    <row r="76" spans="1:5" hidden="1" x14ac:dyDescent="0.35">
      <c r="A76" t="s">
        <v>525</v>
      </c>
      <c r="B76" t="s">
        <v>8</v>
      </c>
      <c r="C76" s="35">
        <v>3</v>
      </c>
      <c r="D76" t="s">
        <v>104</v>
      </c>
      <c r="E76" t="s">
        <v>177</v>
      </c>
    </row>
    <row r="77" spans="1:5" hidden="1" x14ac:dyDescent="0.35">
      <c r="A77" t="s">
        <v>525</v>
      </c>
      <c r="B77" t="s">
        <v>12</v>
      </c>
      <c r="C77" s="32">
        <v>1</v>
      </c>
      <c r="D77" t="s">
        <v>94</v>
      </c>
      <c r="E77" t="s">
        <v>350</v>
      </c>
    </row>
    <row r="78" spans="1:5" hidden="1" x14ac:dyDescent="0.35">
      <c r="A78" t="s">
        <v>525</v>
      </c>
      <c r="B78" t="s">
        <v>12</v>
      </c>
      <c r="C78" s="34">
        <v>2</v>
      </c>
      <c r="D78" t="s">
        <v>16</v>
      </c>
      <c r="E78" t="s">
        <v>177</v>
      </c>
    </row>
    <row r="79" spans="1:5" hidden="1" x14ac:dyDescent="0.35">
      <c r="A79" t="s">
        <v>525</v>
      </c>
      <c r="B79" t="s">
        <v>12</v>
      </c>
      <c r="C79" s="35">
        <v>3</v>
      </c>
      <c r="D79" t="s">
        <v>237</v>
      </c>
      <c r="E79" t="s">
        <v>169</v>
      </c>
    </row>
    <row r="80" spans="1:5" hidden="1" x14ac:dyDescent="0.35">
      <c r="A80" t="s">
        <v>525</v>
      </c>
      <c r="B80" t="s">
        <v>25</v>
      </c>
      <c r="C80" s="32">
        <v>1</v>
      </c>
      <c r="D80" t="s">
        <v>348</v>
      </c>
      <c r="E80" t="s">
        <v>281</v>
      </c>
    </row>
    <row r="81" spans="1:5" hidden="1" x14ac:dyDescent="0.35">
      <c r="A81" t="s">
        <v>525</v>
      </c>
      <c r="B81" t="s">
        <v>25</v>
      </c>
      <c r="C81" s="34">
        <v>2</v>
      </c>
      <c r="D81" t="s">
        <v>16</v>
      </c>
      <c r="E81" t="s">
        <v>177</v>
      </c>
    </row>
    <row r="82" spans="1:5" hidden="1" x14ac:dyDescent="0.35">
      <c r="A82" t="s">
        <v>525</v>
      </c>
      <c r="B82" t="s">
        <v>25</v>
      </c>
      <c r="C82" s="35">
        <v>3</v>
      </c>
      <c r="D82" t="s">
        <v>104</v>
      </c>
      <c r="E82" t="s">
        <v>177</v>
      </c>
    </row>
    <row r="83" spans="1:5" hidden="1" x14ac:dyDescent="0.35">
      <c r="A83" t="s">
        <v>525</v>
      </c>
      <c r="B83" t="s">
        <v>25</v>
      </c>
      <c r="C83" s="35">
        <v>3</v>
      </c>
      <c r="D83" t="s">
        <v>523</v>
      </c>
      <c r="E83" t="s">
        <v>450</v>
      </c>
    </row>
    <row r="84" spans="1:5" hidden="1" x14ac:dyDescent="0.35">
      <c r="A84" t="s">
        <v>525</v>
      </c>
      <c r="B84" t="s">
        <v>37</v>
      </c>
      <c r="C84" s="32">
        <v>1</v>
      </c>
      <c r="D84" t="s">
        <v>82</v>
      </c>
      <c r="E84" t="s">
        <v>350</v>
      </c>
    </row>
    <row r="85" spans="1:5" hidden="1" x14ac:dyDescent="0.35">
      <c r="A85" t="s">
        <v>525</v>
      </c>
      <c r="B85" t="s">
        <v>37</v>
      </c>
      <c r="C85" s="34">
        <v>2</v>
      </c>
      <c r="D85" t="s">
        <v>221</v>
      </c>
      <c r="E85" t="s">
        <v>350</v>
      </c>
    </row>
    <row r="86" spans="1:5" hidden="1" x14ac:dyDescent="0.35">
      <c r="A86" t="s">
        <v>525</v>
      </c>
      <c r="B86" t="s">
        <v>37</v>
      </c>
      <c r="C86" s="35">
        <v>3</v>
      </c>
      <c r="D86" t="s">
        <v>26</v>
      </c>
      <c r="E86" t="s">
        <v>271</v>
      </c>
    </row>
    <row r="87" spans="1:5" hidden="1" x14ac:dyDescent="0.35">
      <c r="A87" t="s">
        <v>525</v>
      </c>
      <c r="B87" t="s">
        <v>19</v>
      </c>
      <c r="C87" s="32">
        <v>1</v>
      </c>
      <c r="D87" t="s">
        <v>23</v>
      </c>
      <c r="E87" t="s">
        <v>177</v>
      </c>
    </row>
    <row r="88" spans="1:5" hidden="1" x14ac:dyDescent="0.35">
      <c r="A88" t="s">
        <v>525</v>
      </c>
      <c r="B88" t="s">
        <v>31</v>
      </c>
      <c r="C88" s="32">
        <v>1</v>
      </c>
      <c r="D88" t="s">
        <v>21</v>
      </c>
      <c r="E88" t="s">
        <v>271</v>
      </c>
    </row>
    <row r="89" spans="1:5" hidden="1" x14ac:dyDescent="0.35">
      <c r="A89" t="s">
        <v>525</v>
      </c>
      <c r="B89" t="s">
        <v>31</v>
      </c>
      <c r="C89" s="34">
        <v>2</v>
      </c>
      <c r="D89" t="s">
        <v>47</v>
      </c>
      <c r="E89" t="s">
        <v>177</v>
      </c>
    </row>
    <row r="90" spans="1:5" hidden="1" x14ac:dyDescent="0.35">
      <c r="A90" t="s">
        <v>525</v>
      </c>
      <c r="B90" t="s">
        <v>31</v>
      </c>
      <c r="C90" s="35">
        <v>3</v>
      </c>
      <c r="D90" t="s">
        <v>32</v>
      </c>
      <c r="E90" t="s">
        <v>177</v>
      </c>
    </row>
    <row r="91" spans="1:5" hidden="1" x14ac:dyDescent="0.35">
      <c r="A91" t="s">
        <v>525</v>
      </c>
      <c r="B91" t="s">
        <v>33</v>
      </c>
      <c r="C91" s="32">
        <v>1</v>
      </c>
      <c r="D91" t="s">
        <v>32</v>
      </c>
      <c r="E91" t="s">
        <v>177</v>
      </c>
    </row>
    <row r="92" spans="1:5" hidden="1" x14ac:dyDescent="0.35">
      <c r="A92" t="s">
        <v>525</v>
      </c>
      <c r="B92" t="s">
        <v>33</v>
      </c>
      <c r="C92" s="32">
        <v>1</v>
      </c>
      <c r="D92" t="s">
        <v>235</v>
      </c>
      <c r="E92" t="s">
        <v>265</v>
      </c>
    </row>
    <row r="93" spans="1:5" hidden="1" x14ac:dyDescent="0.35">
      <c r="B93" t="s">
        <v>546</v>
      </c>
      <c r="C93" s="5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F83DA-E849-4DF1-A89D-8ABA5BA12FC9}">
  <dimension ref="A1:J289"/>
  <sheetViews>
    <sheetView workbookViewId="0">
      <selection activeCell="D227" sqref="D227"/>
    </sheetView>
  </sheetViews>
  <sheetFormatPr defaultRowHeight="14.5" x14ac:dyDescent="0.35"/>
  <cols>
    <col min="1" max="1" width="15.1796875" bestFit="1" customWidth="1"/>
    <col min="2" max="2" width="20.1796875" bestFit="1" customWidth="1"/>
    <col min="3" max="6" width="8.453125" bestFit="1" customWidth="1"/>
    <col min="7" max="7" width="15" bestFit="1" customWidth="1"/>
  </cols>
  <sheetData>
    <row r="1" spans="1:10" x14ac:dyDescent="0.35">
      <c r="A1" s="9" t="s">
        <v>3</v>
      </c>
      <c r="B1" s="9" t="s">
        <v>5</v>
      </c>
    </row>
    <row r="2" spans="1:10" x14ac:dyDescent="0.35">
      <c r="A2" t="s">
        <v>553</v>
      </c>
      <c r="B2" t="s">
        <v>554</v>
      </c>
      <c r="J2" t="s">
        <v>502</v>
      </c>
    </row>
    <row r="3" spans="1:10" x14ac:dyDescent="0.35">
      <c r="B3" t="s">
        <v>555</v>
      </c>
      <c r="H3">
        <f t="shared" ref="H3:I3" si="0">IF(D3&gt;0,1,0)</f>
        <v>0</v>
      </c>
      <c r="I3">
        <f t="shared" si="0"/>
        <v>0</v>
      </c>
      <c r="J3">
        <f>SUM(G3:I3)</f>
        <v>0</v>
      </c>
    </row>
    <row r="4" spans="1:10" x14ac:dyDescent="0.35">
      <c r="B4" t="s">
        <v>556</v>
      </c>
      <c r="H4">
        <f t="shared" ref="H4:H67" si="1">IF(D4&gt;0,1,0)</f>
        <v>0</v>
      </c>
      <c r="I4">
        <f t="shared" ref="I4:I67" si="2">IF(E4&gt;0,1,0)</f>
        <v>0</v>
      </c>
      <c r="J4">
        <f t="shared" ref="J4:J67" si="3">SUM(G4:I4)</f>
        <v>0</v>
      </c>
    </row>
    <row r="5" spans="1:10" x14ac:dyDescent="0.35">
      <c r="B5" t="s">
        <v>557</v>
      </c>
      <c r="H5">
        <f t="shared" si="1"/>
        <v>0</v>
      </c>
      <c r="I5">
        <f t="shared" si="2"/>
        <v>0</v>
      </c>
      <c r="J5">
        <f t="shared" si="3"/>
        <v>0</v>
      </c>
    </row>
    <row r="6" spans="1:10" x14ac:dyDescent="0.35">
      <c r="B6" t="s">
        <v>558</v>
      </c>
      <c r="H6">
        <f t="shared" si="1"/>
        <v>0</v>
      </c>
      <c r="I6">
        <f t="shared" si="2"/>
        <v>0</v>
      </c>
      <c r="J6">
        <f t="shared" si="3"/>
        <v>0</v>
      </c>
    </row>
    <row r="7" spans="1:10" x14ac:dyDescent="0.35">
      <c r="B7" t="s">
        <v>653</v>
      </c>
      <c r="H7">
        <f t="shared" si="1"/>
        <v>0</v>
      </c>
      <c r="I7">
        <f t="shared" si="2"/>
        <v>0</v>
      </c>
      <c r="J7">
        <f t="shared" si="3"/>
        <v>0</v>
      </c>
    </row>
    <row r="8" spans="1:10" x14ac:dyDescent="0.35">
      <c r="B8" t="s">
        <v>660</v>
      </c>
      <c r="H8">
        <f t="shared" si="1"/>
        <v>0</v>
      </c>
      <c r="I8">
        <f t="shared" si="2"/>
        <v>0</v>
      </c>
      <c r="J8">
        <f t="shared" si="3"/>
        <v>0</v>
      </c>
    </row>
    <row r="9" spans="1:10" x14ac:dyDescent="0.35">
      <c r="B9" t="s">
        <v>674</v>
      </c>
      <c r="H9">
        <f t="shared" si="1"/>
        <v>0</v>
      </c>
      <c r="I9">
        <f t="shared" si="2"/>
        <v>0</v>
      </c>
      <c r="J9">
        <f t="shared" si="3"/>
        <v>0</v>
      </c>
    </row>
    <row r="10" spans="1:10" x14ac:dyDescent="0.35">
      <c r="A10" t="s">
        <v>612</v>
      </c>
      <c r="H10">
        <f t="shared" si="1"/>
        <v>0</v>
      </c>
      <c r="I10">
        <f t="shared" si="2"/>
        <v>0</v>
      </c>
      <c r="J10">
        <f t="shared" si="3"/>
        <v>0</v>
      </c>
    </row>
    <row r="11" spans="1:10" x14ac:dyDescent="0.35">
      <c r="A11" t="s">
        <v>646</v>
      </c>
      <c r="B11" t="s">
        <v>340</v>
      </c>
      <c r="H11">
        <f t="shared" si="1"/>
        <v>0</v>
      </c>
      <c r="I11">
        <f t="shared" si="2"/>
        <v>0</v>
      </c>
      <c r="J11">
        <f t="shared" si="3"/>
        <v>0</v>
      </c>
    </row>
    <row r="12" spans="1:10" x14ac:dyDescent="0.35">
      <c r="B12" t="s">
        <v>68</v>
      </c>
      <c r="H12">
        <f t="shared" si="1"/>
        <v>0</v>
      </c>
      <c r="I12">
        <f t="shared" si="2"/>
        <v>0</v>
      </c>
      <c r="J12">
        <f t="shared" si="3"/>
        <v>0</v>
      </c>
    </row>
    <row r="13" spans="1:10" x14ac:dyDescent="0.35">
      <c r="B13" t="s">
        <v>190</v>
      </c>
      <c r="H13">
        <f t="shared" si="1"/>
        <v>0</v>
      </c>
      <c r="I13">
        <f t="shared" si="2"/>
        <v>0</v>
      </c>
      <c r="J13">
        <f t="shared" si="3"/>
        <v>0</v>
      </c>
    </row>
    <row r="14" spans="1:10" x14ac:dyDescent="0.35">
      <c r="B14" t="s">
        <v>209</v>
      </c>
      <c r="H14">
        <f t="shared" si="1"/>
        <v>0</v>
      </c>
      <c r="I14">
        <f t="shared" si="2"/>
        <v>0</v>
      </c>
      <c r="J14">
        <f t="shared" si="3"/>
        <v>0</v>
      </c>
    </row>
    <row r="15" spans="1:10" x14ac:dyDescent="0.35">
      <c r="B15" t="s">
        <v>189</v>
      </c>
      <c r="H15">
        <f t="shared" si="1"/>
        <v>0</v>
      </c>
      <c r="I15">
        <f t="shared" si="2"/>
        <v>0</v>
      </c>
      <c r="J15">
        <f t="shared" si="3"/>
        <v>0</v>
      </c>
    </row>
    <row r="16" spans="1:10" x14ac:dyDescent="0.35">
      <c r="B16" t="s">
        <v>197</v>
      </c>
      <c r="H16">
        <f t="shared" si="1"/>
        <v>0</v>
      </c>
      <c r="I16">
        <f t="shared" si="2"/>
        <v>0</v>
      </c>
      <c r="J16">
        <f t="shared" si="3"/>
        <v>0</v>
      </c>
    </row>
    <row r="17" spans="1:10" x14ac:dyDescent="0.35">
      <c r="B17" t="s">
        <v>695</v>
      </c>
      <c r="H17">
        <f t="shared" si="1"/>
        <v>0</v>
      </c>
      <c r="I17">
        <f t="shared" si="2"/>
        <v>0</v>
      </c>
      <c r="J17">
        <f t="shared" si="3"/>
        <v>0</v>
      </c>
    </row>
    <row r="18" spans="1:10" x14ac:dyDescent="0.35">
      <c r="A18" t="s">
        <v>649</v>
      </c>
      <c r="H18">
        <f t="shared" si="1"/>
        <v>0</v>
      </c>
      <c r="I18">
        <f t="shared" si="2"/>
        <v>0</v>
      </c>
      <c r="J18">
        <f t="shared" si="3"/>
        <v>0</v>
      </c>
    </row>
    <row r="19" spans="1:10" x14ac:dyDescent="0.35">
      <c r="A19" t="s">
        <v>682</v>
      </c>
      <c r="B19" t="s">
        <v>68</v>
      </c>
      <c r="H19">
        <f t="shared" si="1"/>
        <v>0</v>
      </c>
      <c r="I19">
        <f t="shared" si="2"/>
        <v>0</v>
      </c>
      <c r="J19">
        <f t="shared" si="3"/>
        <v>0</v>
      </c>
    </row>
    <row r="20" spans="1:10" x14ac:dyDescent="0.35">
      <c r="B20" t="s">
        <v>190</v>
      </c>
      <c r="H20">
        <f t="shared" si="1"/>
        <v>0</v>
      </c>
      <c r="I20">
        <f t="shared" si="2"/>
        <v>0</v>
      </c>
      <c r="J20">
        <f t="shared" si="3"/>
        <v>0</v>
      </c>
    </row>
    <row r="21" spans="1:10" x14ac:dyDescent="0.35">
      <c r="B21" t="s">
        <v>560</v>
      </c>
      <c r="H21">
        <f t="shared" si="1"/>
        <v>0</v>
      </c>
      <c r="I21">
        <f t="shared" si="2"/>
        <v>0</v>
      </c>
      <c r="J21">
        <f t="shared" si="3"/>
        <v>0</v>
      </c>
    </row>
    <row r="22" spans="1:10" x14ac:dyDescent="0.35">
      <c r="B22" t="s">
        <v>563</v>
      </c>
      <c r="H22">
        <f t="shared" si="1"/>
        <v>0</v>
      </c>
      <c r="I22">
        <f t="shared" si="2"/>
        <v>0</v>
      </c>
      <c r="J22">
        <f t="shared" si="3"/>
        <v>0</v>
      </c>
    </row>
    <row r="23" spans="1:10" x14ac:dyDescent="0.35">
      <c r="B23" t="s">
        <v>564</v>
      </c>
      <c r="H23">
        <f t="shared" si="1"/>
        <v>0</v>
      </c>
      <c r="I23">
        <f t="shared" si="2"/>
        <v>0</v>
      </c>
      <c r="J23">
        <f t="shared" si="3"/>
        <v>0</v>
      </c>
    </row>
    <row r="24" spans="1:10" x14ac:dyDescent="0.35">
      <c r="B24" t="s">
        <v>590</v>
      </c>
      <c r="H24">
        <f t="shared" si="1"/>
        <v>0</v>
      </c>
      <c r="I24">
        <f t="shared" si="2"/>
        <v>0</v>
      </c>
      <c r="J24">
        <f t="shared" si="3"/>
        <v>0</v>
      </c>
    </row>
    <row r="25" spans="1:10" x14ac:dyDescent="0.35">
      <c r="B25" t="s">
        <v>623</v>
      </c>
      <c r="H25">
        <f t="shared" si="1"/>
        <v>0</v>
      </c>
      <c r="I25">
        <f t="shared" si="2"/>
        <v>0</v>
      </c>
      <c r="J25">
        <f t="shared" si="3"/>
        <v>0</v>
      </c>
    </row>
    <row r="26" spans="1:10" x14ac:dyDescent="0.35">
      <c r="B26" t="s">
        <v>625</v>
      </c>
      <c r="H26">
        <f t="shared" si="1"/>
        <v>0</v>
      </c>
      <c r="I26">
        <f t="shared" si="2"/>
        <v>0</v>
      </c>
      <c r="J26">
        <f t="shared" si="3"/>
        <v>0</v>
      </c>
    </row>
    <row r="27" spans="1:10" x14ac:dyDescent="0.35">
      <c r="B27" t="s">
        <v>663</v>
      </c>
      <c r="H27">
        <f t="shared" si="1"/>
        <v>0</v>
      </c>
      <c r="I27">
        <f t="shared" si="2"/>
        <v>0</v>
      </c>
      <c r="J27">
        <f t="shared" si="3"/>
        <v>0</v>
      </c>
    </row>
    <row r="28" spans="1:10" x14ac:dyDescent="0.35">
      <c r="B28" t="s">
        <v>664</v>
      </c>
      <c r="H28">
        <f t="shared" si="1"/>
        <v>0</v>
      </c>
      <c r="I28">
        <f t="shared" si="2"/>
        <v>0</v>
      </c>
      <c r="J28">
        <f t="shared" si="3"/>
        <v>0</v>
      </c>
    </row>
    <row r="29" spans="1:10" x14ac:dyDescent="0.35">
      <c r="B29" t="s">
        <v>665</v>
      </c>
      <c r="H29">
        <f t="shared" si="1"/>
        <v>0</v>
      </c>
      <c r="I29">
        <f t="shared" si="2"/>
        <v>0</v>
      </c>
      <c r="J29">
        <f t="shared" si="3"/>
        <v>0</v>
      </c>
    </row>
    <row r="30" spans="1:10" x14ac:dyDescent="0.35">
      <c r="B30" t="s">
        <v>666</v>
      </c>
      <c r="H30">
        <f t="shared" si="1"/>
        <v>0</v>
      </c>
      <c r="I30">
        <f t="shared" si="2"/>
        <v>0</v>
      </c>
      <c r="J30">
        <f t="shared" si="3"/>
        <v>0</v>
      </c>
    </row>
    <row r="31" spans="1:10" x14ac:dyDescent="0.35">
      <c r="A31" t="s">
        <v>685</v>
      </c>
      <c r="H31">
        <f t="shared" si="1"/>
        <v>0</v>
      </c>
      <c r="I31">
        <f t="shared" si="2"/>
        <v>0</v>
      </c>
      <c r="J31">
        <f t="shared" si="3"/>
        <v>0</v>
      </c>
    </row>
    <row r="32" spans="1:10" x14ac:dyDescent="0.35">
      <c r="A32" t="s">
        <v>683</v>
      </c>
      <c r="B32" t="s">
        <v>70</v>
      </c>
      <c r="H32">
        <f t="shared" si="1"/>
        <v>0</v>
      </c>
      <c r="I32">
        <f t="shared" si="2"/>
        <v>0</v>
      </c>
      <c r="J32">
        <f t="shared" si="3"/>
        <v>0</v>
      </c>
    </row>
    <row r="33" spans="2:10" x14ac:dyDescent="0.35">
      <c r="B33" t="s">
        <v>444</v>
      </c>
      <c r="H33">
        <f t="shared" si="1"/>
        <v>0</v>
      </c>
      <c r="I33">
        <f t="shared" si="2"/>
        <v>0</v>
      </c>
      <c r="J33">
        <f t="shared" si="3"/>
        <v>0</v>
      </c>
    </row>
    <row r="34" spans="2:10" x14ac:dyDescent="0.35">
      <c r="B34" t="s">
        <v>48</v>
      </c>
      <c r="H34">
        <f t="shared" si="1"/>
        <v>0</v>
      </c>
      <c r="I34">
        <f t="shared" si="2"/>
        <v>0</v>
      </c>
      <c r="J34">
        <f t="shared" si="3"/>
        <v>0</v>
      </c>
    </row>
    <row r="35" spans="2:10" x14ac:dyDescent="0.35">
      <c r="B35" t="s">
        <v>566</v>
      </c>
      <c r="H35">
        <f t="shared" si="1"/>
        <v>0</v>
      </c>
      <c r="I35">
        <f t="shared" si="2"/>
        <v>0</v>
      </c>
      <c r="J35">
        <f t="shared" si="3"/>
        <v>0</v>
      </c>
    </row>
    <row r="36" spans="2:10" x14ac:dyDescent="0.35">
      <c r="B36" t="s">
        <v>568</v>
      </c>
      <c r="H36">
        <f t="shared" si="1"/>
        <v>0</v>
      </c>
      <c r="I36">
        <f t="shared" si="2"/>
        <v>0</v>
      </c>
      <c r="J36">
        <f t="shared" si="3"/>
        <v>0</v>
      </c>
    </row>
    <row r="37" spans="2:10" x14ac:dyDescent="0.35">
      <c r="B37" t="s">
        <v>569</v>
      </c>
      <c r="H37">
        <f t="shared" si="1"/>
        <v>0</v>
      </c>
      <c r="I37">
        <f t="shared" si="2"/>
        <v>0</v>
      </c>
      <c r="J37">
        <f t="shared" si="3"/>
        <v>0</v>
      </c>
    </row>
    <row r="38" spans="2:10" x14ac:dyDescent="0.35">
      <c r="B38" t="s">
        <v>570</v>
      </c>
      <c r="H38">
        <f t="shared" si="1"/>
        <v>0</v>
      </c>
      <c r="I38">
        <f t="shared" si="2"/>
        <v>0</v>
      </c>
      <c r="J38">
        <f t="shared" si="3"/>
        <v>0</v>
      </c>
    </row>
    <row r="39" spans="2:10" x14ac:dyDescent="0.35">
      <c r="B39" t="s">
        <v>576</v>
      </c>
      <c r="H39">
        <f t="shared" si="1"/>
        <v>0</v>
      </c>
      <c r="I39">
        <f t="shared" si="2"/>
        <v>0</v>
      </c>
      <c r="J39">
        <f t="shared" si="3"/>
        <v>0</v>
      </c>
    </row>
    <row r="40" spans="2:10" x14ac:dyDescent="0.35">
      <c r="B40" t="s">
        <v>577</v>
      </c>
      <c r="H40">
        <f t="shared" si="1"/>
        <v>0</v>
      </c>
      <c r="I40">
        <f t="shared" si="2"/>
        <v>0</v>
      </c>
      <c r="J40">
        <f t="shared" si="3"/>
        <v>0</v>
      </c>
    </row>
    <row r="41" spans="2:10" x14ac:dyDescent="0.35">
      <c r="B41" t="s">
        <v>593</v>
      </c>
      <c r="H41">
        <f t="shared" si="1"/>
        <v>0</v>
      </c>
      <c r="I41">
        <f t="shared" si="2"/>
        <v>0</v>
      </c>
      <c r="J41">
        <f t="shared" si="3"/>
        <v>0</v>
      </c>
    </row>
    <row r="42" spans="2:10" x14ac:dyDescent="0.35">
      <c r="B42" t="s">
        <v>626</v>
      </c>
      <c r="H42">
        <f t="shared" si="1"/>
        <v>0</v>
      </c>
      <c r="I42">
        <f t="shared" si="2"/>
        <v>0</v>
      </c>
      <c r="J42">
        <f t="shared" si="3"/>
        <v>0</v>
      </c>
    </row>
    <row r="43" spans="2:10" x14ac:dyDescent="0.35">
      <c r="B43" t="s">
        <v>627</v>
      </c>
      <c r="H43">
        <f t="shared" si="1"/>
        <v>0</v>
      </c>
      <c r="I43">
        <f t="shared" si="2"/>
        <v>0</v>
      </c>
      <c r="J43">
        <f t="shared" si="3"/>
        <v>0</v>
      </c>
    </row>
    <row r="44" spans="2:10" x14ac:dyDescent="0.35">
      <c r="B44" t="s">
        <v>640</v>
      </c>
      <c r="H44">
        <f t="shared" si="1"/>
        <v>0</v>
      </c>
      <c r="I44">
        <f t="shared" si="2"/>
        <v>0</v>
      </c>
      <c r="J44">
        <f t="shared" si="3"/>
        <v>0</v>
      </c>
    </row>
    <row r="45" spans="2:10" x14ac:dyDescent="0.35">
      <c r="B45" t="s">
        <v>610</v>
      </c>
      <c r="H45">
        <f t="shared" si="1"/>
        <v>0</v>
      </c>
      <c r="I45">
        <f t="shared" si="2"/>
        <v>0</v>
      </c>
      <c r="J45">
        <f t="shared" si="3"/>
        <v>0</v>
      </c>
    </row>
    <row r="46" spans="2:10" x14ac:dyDescent="0.35">
      <c r="B46" t="s">
        <v>652</v>
      </c>
      <c r="H46">
        <f t="shared" si="1"/>
        <v>0</v>
      </c>
      <c r="I46">
        <f t="shared" si="2"/>
        <v>0</v>
      </c>
      <c r="J46">
        <f t="shared" si="3"/>
        <v>0</v>
      </c>
    </row>
    <row r="47" spans="2:10" x14ac:dyDescent="0.35">
      <c r="B47" t="s">
        <v>657</v>
      </c>
      <c r="H47">
        <f t="shared" si="1"/>
        <v>0</v>
      </c>
      <c r="I47">
        <f t="shared" si="2"/>
        <v>0</v>
      </c>
      <c r="J47">
        <f t="shared" si="3"/>
        <v>0</v>
      </c>
    </row>
    <row r="48" spans="2:10" x14ac:dyDescent="0.35">
      <c r="B48" t="s">
        <v>658</v>
      </c>
      <c r="H48">
        <f t="shared" si="1"/>
        <v>0</v>
      </c>
      <c r="I48">
        <f t="shared" si="2"/>
        <v>0</v>
      </c>
      <c r="J48">
        <f t="shared" si="3"/>
        <v>0</v>
      </c>
    </row>
    <row r="49" spans="1:10" x14ac:dyDescent="0.35">
      <c r="B49" t="s">
        <v>667</v>
      </c>
      <c r="H49">
        <f t="shared" si="1"/>
        <v>0</v>
      </c>
      <c r="I49">
        <f t="shared" si="2"/>
        <v>0</v>
      </c>
      <c r="J49">
        <f t="shared" si="3"/>
        <v>0</v>
      </c>
    </row>
    <row r="50" spans="1:10" x14ac:dyDescent="0.35">
      <c r="B50" t="s">
        <v>668</v>
      </c>
      <c r="H50">
        <f t="shared" si="1"/>
        <v>0</v>
      </c>
      <c r="I50">
        <f t="shared" si="2"/>
        <v>0</v>
      </c>
      <c r="J50">
        <f t="shared" si="3"/>
        <v>0</v>
      </c>
    </row>
    <row r="51" spans="1:10" x14ac:dyDescent="0.35">
      <c r="B51" t="s">
        <v>676</v>
      </c>
      <c r="H51">
        <f t="shared" si="1"/>
        <v>0</v>
      </c>
      <c r="I51">
        <f t="shared" si="2"/>
        <v>0</v>
      </c>
      <c r="J51">
        <f t="shared" si="3"/>
        <v>0</v>
      </c>
    </row>
    <row r="52" spans="1:10" x14ac:dyDescent="0.35">
      <c r="B52" t="s">
        <v>690</v>
      </c>
      <c r="H52">
        <f t="shared" si="1"/>
        <v>0</v>
      </c>
      <c r="I52">
        <f t="shared" si="2"/>
        <v>0</v>
      </c>
      <c r="J52">
        <f t="shared" si="3"/>
        <v>0</v>
      </c>
    </row>
    <row r="53" spans="1:10" x14ac:dyDescent="0.35">
      <c r="B53" t="s">
        <v>693</v>
      </c>
      <c r="H53">
        <f t="shared" si="1"/>
        <v>0</v>
      </c>
      <c r="I53">
        <f t="shared" si="2"/>
        <v>0</v>
      </c>
      <c r="J53">
        <f t="shared" si="3"/>
        <v>0</v>
      </c>
    </row>
    <row r="54" spans="1:10" x14ac:dyDescent="0.35">
      <c r="B54" t="s">
        <v>694</v>
      </c>
      <c r="H54">
        <f t="shared" si="1"/>
        <v>0</v>
      </c>
      <c r="I54">
        <f t="shared" si="2"/>
        <v>0</v>
      </c>
      <c r="J54">
        <f t="shared" si="3"/>
        <v>0</v>
      </c>
    </row>
    <row r="55" spans="1:10" x14ac:dyDescent="0.35">
      <c r="A55" t="s">
        <v>686</v>
      </c>
      <c r="H55">
        <f t="shared" si="1"/>
        <v>0</v>
      </c>
      <c r="I55">
        <f t="shared" si="2"/>
        <v>0</v>
      </c>
      <c r="J55">
        <f t="shared" si="3"/>
        <v>0</v>
      </c>
    </row>
    <row r="56" spans="1:10" x14ac:dyDescent="0.35">
      <c r="A56" t="s">
        <v>645</v>
      </c>
      <c r="B56" t="s">
        <v>70</v>
      </c>
      <c r="H56">
        <f t="shared" si="1"/>
        <v>0</v>
      </c>
      <c r="I56">
        <f t="shared" si="2"/>
        <v>0</v>
      </c>
      <c r="J56">
        <f t="shared" si="3"/>
        <v>0</v>
      </c>
    </row>
    <row r="57" spans="1:10" x14ac:dyDescent="0.35">
      <c r="B57" t="s">
        <v>318</v>
      </c>
      <c r="H57">
        <f t="shared" si="1"/>
        <v>0</v>
      </c>
      <c r="I57">
        <f t="shared" si="2"/>
        <v>0</v>
      </c>
      <c r="J57">
        <f t="shared" si="3"/>
        <v>0</v>
      </c>
    </row>
    <row r="58" spans="1:10" x14ac:dyDescent="0.35">
      <c r="B58" t="s">
        <v>75</v>
      </c>
      <c r="H58">
        <f t="shared" si="1"/>
        <v>0</v>
      </c>
      <c r="I58">
        <f t="shared" si="2"/>
        <v>0</v>
      </c>
      <c r="J58">
        <f t="shared" si="3"/>
        <v>0</v>
      </c>
    </row>
    <row r="59" spans="1:10" x14ac:dyDescent="0.35">
      <c r="B59" t="s">
        <v>79</v>
      </c>
      <c r="H59">
        <f t="shared" si="1"/>
        <v>0</v>
      </c>
      <c r="I59">
        <f t="shared" si="2"/>
        <v>0</v>
      </c>
      <c r="J59">
        <f t="shared" si="3"/>
        <v>0</v>
      </c>
    </row>
    <row r="60" spans="1:10" x14ac:dyDescent="0.35">
      <c r="B60" t="s">
        <v>71</v>
      </c>
      <c r="H60">
        <f t="shared" si="1"/>
        <v>0</v>
      </c>
      <c r="I60">
        <f t="shared" si="2"/>
        <v>0</v>
      </c>
      <c r="J60">
        <f t="shared" si="3"/>
        <v>0</v>
      </c>
    </row>
    <row r="61" spans="1:10" x14ac:dyDescent="0.35">
      <c r="B61" t="s">
        <v>69</v>
      </c>
      <c r="H61">
        <f t="shared" si="1"/>
        <v>0</v>
      </c>
      <c r="I61">
        <f t="shared" si="2"/>
        <v>0</v>
      </c>
      <c r="J61">
        <f t="shared" si="3"/>
        <v>0</v>
      </c>
    </row>
    <row r="62" spans="1:10" x14ac:dyDescent="0.35">
      <c r="B62" t="s">
        <v>439</v>
      </c>
      <c r="H62">
        <f t="shared" si="1"/>
        <v>0</v>
      </c>
      <c r="I62">
        <f t="shared" si="2"/>
        <v>0</v>
      </c>
      <c r="J62">
        <f t="shared" si="3"/>
        <v>0</v>
      </c>
    </row>
    <row r="63" spans="1:10" x14ac:dyDescent="0.35">
      <c r="B63" t="s">
        <v>444</v>
      </c>
      <c r="H63">
        <f t="shared" si="1"/>
        <v>0</v>
      </c>
      <c r="I63">
        <f t="shared" si="2"/>
        <v>0</v>
      </c>
      <c r="J63">
        <f t="shared" si="3"/>
        <v>0</v>
      </c>
    </row>
    <row r="64" spans="1:10" x14ac:dyDescent="0.35">
      <c r="B64" t="s">
        <v>206</v>
      </c>
      <c r="H64">
        <f t="shared" si="1"/>
        <v>0</v>
      </c>
      <c r="I64">
        <f t="shared" si="2"/>
        <v>0</v>
      </c>
      <c r="J64">
        <f t="shared" si="3"/>
        <v>0</v>
      </c>
    </row>
    <row r="65" spans="1:10" x14ac:dyDescent="0.35">
      <c r="B65" t="s">
        <v>451</v>
      </c>
      <c r="H65">
        <f t="shared" si="1"/>
        <v>0</v>
      </c>
      <c r="I65">
        <f t="shared" si="2"/>
        <v>0</v>
      </c>
      <c r="J65">
        <f t="shared" si="3"/>
        <v>0</v>
      </c>
    </row>
    <row r="66" spans="1:10" x14ac:dyDescent="0.35">
      <c r="B66" t="s">
        <v>629</v>
      </c>
      <c r="H66">
        <f t="shared" si="1"/>
        <v>0</v>
      </c>
      <c r="I66">
        <f t="shared" si="2"/>
        <v>0</v>
      </c>
      <c r="J66">
        <f t="shared" si="3"/>
        <v>0</v>
      </c>
    </row>
    <row r="67" spans="1:10" x14ac:dyDescent="0.35">
      <c r="B67" t="s">
        <v>642</v>
      </c>
      <c r="H67">
        <f t="shared" si="1"/>
        <v>0</v>
      </c>
      <c r="I67">
        <f t="shared" si="2"/>
        <v>0</v>
      </c>
      <c r="J67">
        <f t="shared" si="3"/>
        <v>0</v>
      </c>
    </row>
    <row r="68" spans="1:10" x14ac:dyDescent="0.35">
      <c r="B68" t="s">
        <v>669</v>
      </c>
      <c r="H68">
        <f t="shared" ref="H68:H131" si="4">IF(D68&gt;0,1,0)</f>
        <v>0</v>
      </c>
      <c r="I68">
        <f t="shared" ref="I68:I131" si="5">IF(E68&gt;0,1,0)</f>
        <v>0</v>
      </c>
      <c r="J68">
        <f t="shared" ref="J68:J131" si="6">SUM(G68:I68)</f>
        <v>0</v>
      </c>
    </row>
    <row r="69" spans="1:10" x14ac:dyDescent="0.35">
      <c r="A69" t="s">
        <v>650</v>
      </c>
      <c r="H69">
        <f t="shared" si="4"/>
        <v>0</v>
      </c>
      <c r="I69">
        <f t="shared" si="5"/>
        <v>0</v>
      </c>
      <c r="J69">
        <f t="shared" si="6"/>
        <v>0</v>
      </c>
    </row>
    <row r="70" spans="1:10" x14ac:dyDescent="0.35">
      <c r="A70" t="s">
        <v>573</v>
      </c>
      <c r="B70" t="s">
        <v>574</v>
      </c>
      <c r="H70">
        <f t="shared" si="4"/>
        <v>0</v>
      </c>
      <c r="I70">
        <f t="shared" si="5"/>
        <v>0</v>
      </c>
      <c r="J70">
        <f t="shared" si="6"/>
        <v>0</v>
      </c>
    </row>
    <row r="71" spans="1:10" x14ac:dyDescent="0.35">
      <c r="B71" t="s">
        <v>575</v>
      </c>
      <c r="H71">
        <f t="shared" si="4"/>
        <v>0</v>
      </c>
      <c r="I71">
        <f t="shared" si="5"/>
        <v>0</v>
      </c>
      <c r="J71">
        <f t="shared" si="6"/>
        <v>0</v>
      </c>
    </row>
    <row r="72" spans="1:10" x14ac:dyDescent="0.35">
      <c r="B72" t="s">
        <v>576</v>
      </c>
      <c r="H72">
        <f t="shared" si="4"/>
        <v>0</v>
      </c>
      <c r="I72">
        <f t="shared" si="5"/>
        <v>0</v>
      </c>
      <c r="J72">
        <f t="shared" si="6"/>
        <v>0</v>
      </c>
    </row>
    <row r="73" spans="1:10" x14ac:dyDescent="0.35">
      <c r="B73" t="s">
        <v>579</v>
      </c>
      <c r="H73">
        <f t="shared" si="4"/>
        <v>0</v>
      </c>
      <c r="I73">
        <f t="shared" si="5"/>
        <v>0</v>
      </c>
      <c r="J73">
        <f t="shared" si="6"/>
        <v>0</v>
      </c>
    </row>
    <row r="74" spans="1:10" x14ac:dyDescent="0.35">
      <c r="B74" t="s">
        <v>581</v>
      </c>
      <c r="H74">
        <f t="shared" si="4"/>
        <v>0</v>
      </c>
      <c r="I74">
        <f t="shared" si="5"/>
        <v>0</v>
      </c>
      <c r="J74">
        <f t="shared" si="6"/>
        <v>0</v>
      </c>
    </row>
    <row r="75" spans="1:10" x14ac:dyDescent="0.35">
      <c r="B75" t="s">
        <v>582</v>
      </c>
      <c r="H75">
        <f t="shared" si="4"/>
        <v>0</v>
      </c>
      <c r="I75">
        <f t="shared" si="5"/>
        <v>0</v>
      </c>
      <c r="J75">
        <f t="shared" si="6"/>
        <v>0</v>
      </c>
    </row>
    <row r="76" spans="1:10" x14ac:dyDescent="0.35">
      <c r="B76" t="s">
        <v>605</v>
      </c>
      <c r="H76">
        <f t="shared" si="4"/>
        <v>0</v>
      </c>
      <c r="I76">
        <f t="shared" si="5"/>
        <v>0</v>
      </c>
      <c r="J76">
        <f t="shared" si="6"/>
        <v>0</v>
      </c>
    </row>
    <row r="77" spans="1:10" x14ac:dyDescent="0.35">
      <c r="B77" t="s">
        <v>631</v>
      </c>
      <c r="H77">
        <f t="shared" si="4"/>
        <v>0</v>
      </c>
      <c r="I77">
        <f t="shared" si="5"/>
        <v>0</v>
      </c>
      <c r="J77">
        <f t="shared" si="6"/>
        <v>0</v>
      </c>
    </row>
    <row r="78" spans="1:10" x14ac:dyDescent="0.35">
      <c r="B78" t="s">
        <v>641</v>
      </c>
      <c r="H78">
        <f t="shared" si="4"/>
        <v>0</v>
      </c>
      <c r="I78">
        <f t="shared" si="5"/>
        <v>0</v>
      </c>
      <c r="J78">
        <f t="shared" si="6"/>
        <v>0</v>
      </c>
    </row>
    <row r="79" spans="1:10" x14ac:dyDescent="0.35">
      <c r="B79" t="s">
        <v>654</v>
      </c>
      <c r="H79">
        <f t="shared" si="4"/>
        <v>0</v>
      </c>
      <c r="I79">
        <f t="shared" si="5"/>
        <v>0</v>
      </c>
      <c r="J79">
        <f t="shared" si="6"/>
        <v>0</v>
      </c>
    </row>
    <row r="80" spans="1:10" x14ac:dyDescent="0.35">
      <c r="B80" t="s">
        <v>655</v>
      </c>
      <c r="H80">
        <f t="shared" si="4"/>
        <v>0</v>
      </c>
      <c r="I80">
        <f t="shared" si="5"/>
        <v>0</v>
      </c>
      <c r="J80">
        <f t="shared" si="6"/>
        <v>0</v>
      </c>
    </row>
    <row r="81" spans="1:10" x14ac:dyDescent="0.35">
      <c r="B81" t="s">
        <v>658</v>
      </c>
      <c r="H81">
        <f t="shared" si="4"/>
        <v>0</v>
      </c>
      <c r="I81">
        <f t="shared" si="5"/>
        <v>0</v>
      </c>
      <c r="J81">
        <f t="shared" si="6"/>
        <v>0</v>
      </c>
    </row>
    <row r="82" spans="1:10" x14ac:dyDescent="0.35">
      <c r="B82" t="s">
        <v>659</v>
      </c>
      <c r="H82">
        <f t="shared" si="4"/>
        <v>0</v>
      </c>
      <c r="I82">
        <f t="shared" si="5"/>
        <v>0</v>
      </c>
      <c r="J82">
        <f t="shared" si="6"/>
        <v>0</v>
      </c>
    </row>
    <row r="83" spans="1:10" x14ac:dyDescent="0.35">
      <c r="B83" t="s">
        <v>675</v>
      </c>
      <c r="H83">
        <f t="shared" si="4"/>
        <v>0</v>
      </c>
      <c r="I83">
        <f t="shared" si="5"/>
        <v>0</v>
      </c>
      <c r="J83">
        <f t="shared" si="6"/>
        <v>0</v>
      </c>
    </row>
    <row r="84" spans="1:10" x14ac:dyDescent="0.35">
      <c r="B84" t="s">
        <v>676</v>
      </c>
      <c r="H84">
        <f t="shared" si="4"/>
        <v>0</v>
      </c>
      <c r="I84">
        <f t="shared" si="5"/>
        <v>0</v>
      </c>
      <c r="J84">
        <f t="shared" si="6"/>
        <v>0</v>
      </c>
    </row>
    <row r="85" spans="1:10" x14ac:dyDescent="0.35">
      <c r="B85" t="s">
        <v>677</v>
      </c>
      <c r="H85">
        <f t="shared" si="4"/>
        <v>0</v>
      </c>
      <c r="I85">
        <f t="shared" si="5"/>
        <v>0</v>
      </c>
      <c r="J85">
        <f t="shared" si="6"/>
        <v>0</v>
      </c>
    </row>
    <row r="86" spans="1:10" x14ac:dyDescent="0.35">
      <c r="B86" t="s">
        <v>691</v>
      </c>
      <c r="H86">
        <f t="shared" si="4"/>
        <v>0</v>
      </c>
      <c r="I86">
        <f t="shared" si="5"/>
        <v>0</v>
      </c>
      <c r="J86">
        <f t="shared" si="6"/>
        <v>0</v>
      </c>
    </row>
    <row r="87" spans="1:10" x14ac:dyDescent="0.35">
      <c r="A87" t="s">
        <v>613</v>
      </c>
      <c r="H87">
        <f t="shared" si="4"/>
        <v>0</v>
      </c>
      <c r="I87">
        <f t="shared" si="5"/>
        <v>0</v>
      </c>
      <c r="J87">
        <f t="shared" si="6"/>
        <v>0</v>
      </c>
    </row>
    <row r="88" spans="1:10" x14ac:dyDescent="0.35">
      <c r="A88" t="s">
        <v>584</v>
      </c>
      <c r="B88" t="s">
        <v>585</v>
      </c>
      <c r="H88">
        <f t="shared" si="4"/>
        <v>0</v>
      </c>
      <c r="I88">
        <f t="shared" si="5"/>
        <v>0</v>
      </c>
      <c r="J88">
        <f t="shared" si="6"/>
        <v>0</v>
      </c>
    </row>
    <row r="89" spans="1:10" x14ac:dyDescent="0.35">
      <c r="B89" t="s">
        <v>586</v>
      </c>
      <c r="H89">
        <f t="shared" si="4"/>
        <v>0</v>
      </c>
      <c r="I89">
        <f t="shared" si="5"/>
        <v>0</v>
      </c>
      <c r="J89">
        <f t="shared" si="6"/>
        <v>0</v>
      </c>
    </row>
    <row r="90" spans="1:10" x14ac:dyDescent="0.35">
      <c r="B90" t="s">
        <v>587</v>
      </c>
      <c r="H90">
        <f t="shared" si="4"/>
        <v>0</v>
      </c>
      <c r="I90">
        <f t="shared" si="5"/>
        <v>0</v>
      </c>
      <c r="J90">
        <f t="shared" si="6"/>
        <v>0</v>
      </c>
    </row>
    <row r="91" spans="1:10" x14ac:dyDescent="0.35">
      <c r="B91" t="s">
        <v>597</v>
      </c>
      <c r="H91">
        <f t="shared" si="4"/>
        <v>0</v>
      </c>
      <c r="I91">
        <f t="shared" si="5"/>
        <v>0</v>
      </c>
      <c r="J91">
        <f t="shared" si="6"/>
        <v>0</v>
      </c>
    </row>
    <row r="92" spans="1:10" x14ac:dyDescent="0.35">
      <c r="B92" t="s">
        <v>599</v>
      </c>
      <c r="H92">
        <f t="shared" si="4"/>
        <v>0</v>
      </c>
      <c r="I92">
        <f t="shared" si="5"/>
        <v>0</v>
      </c>
      <c r="J92">
        <f t="shared" si="6"/>
        <v>0</v>
      </c>
    </row>
    <row r="93" spans="1:10" x14ac:dyDescent="0.35">
      <c r="B93" t="s">
        <v>601</v>
      </c>
      <c r="H93">
        <f t="shared" si="4"/>
        <v>0</v>
      </c>
      <c r="I93">
        <f t="shared" si="5"/>
        <v>0</v>
      </c>
      <c r="J93">
        <f t="shared" si="6"/>
        <v>0</v>
      </c>
    </row>
    <row r="94" spans="1:10" x14ac:dyDescent="0.35">
      <c r="B94" t="s">
        <v>632</v>
      </c>
      <c r="H94">
        <f t="shared" si="4"/>
        <v>0</v>
      </c>
      <c r="I94">
        <f t="shared" si="5"/>
        <v>0</v>
      </c>
      <c r="J94">
        <f t="shared" si="6"/>
        <v>0</v>
      </c>
    </row>
    <row r="95" spans="1:10" x14ac:dyDescent="0.35">
      <c r="B95" t="s">
        <v>633</v>
      </c>
      <c r="H95">
        <f t="shared" si="4"/>
        <v>0</v>
      </c>
      <c r="I95">
        <f t="shared" si="5"/>
        <v>0</v>
      </c>
      <c r="J95">
        <f t="shared" si="6"/>
        <v>0</v>
      </c>
    </row>
    <row r="96" spans="1:10" x14ac:dyDescent="0.35">
      <c r="B96" t="s">
        <v>678</v>
      </c>
      <c r="H96">
        <f t="shared" si="4"/>
        <v>0</v>
      </c>
      <c r="I96">
        <f t="shared" si="5"/>
        <v>0</v>
      </c>
      <c r="J96">
        <f t="shared" si="6"/>
        <v>0</v>
      </c>
    </row>
    <row r="97" spans="1:10" x14ac:dyDescent="0.35">
      <c r="A97" t="s">
        <v>614</v>
      </c>
      <c r="H97">
        <f t="shared" si="4"/>
        <v>0</v>
      </c>
      <c r="I97">
        <f t="shared" si="5"/>
        <v>0</v>
      </c>
      <c r="J97">
        <f t="shared" si="6"/>
        <v>0</v>
      </c>
    </row>
    <row r="98" spans="1:10" x14ac:dyDescent="0.35">
      <c r="A98" t="s">
        <v>661</v>
      </c>
      <c r="B98" t="s">
        <v>662</v>
      </c>
      <c r="H98">
        <f t="shared" si="4"/>
        <v>0</v>
      </c>
      <c r="I98">
        <f t="shared" si="5"/>
        <v>0</v>
      </c>
      <c r="J98">
        <f t="shared" si="6"/>
        <v>0</v>
      </c>
    </row>
    <row r="99" spans="1:10" x14ac:dyDescent="0.35">
      <c r="B99" t="s">
        <v>671</v>
      </c>
      <c r="H99">
        <f t="shared" si="4"/>
        <v>0</v>
      </c>
      <c r="I99">
        <f t="shared" si="5"/>
        <v>0</v>
      </c>
      <c r="J99">
        <f t="shared" si="6"/>
        <v>0</v>
      </c>
    </row>
    <row r="100" spans="1:10" x14ac:dyDescent="0.35">
      <c r="A100" t="s">
        <v>687</v>
      </c>
      <c r="H100">
        <f t="shared" si="4"/>
        <v>0</v>
      </c>
      <c r="I100">
        <f t="shared" si="5"/>
        <v>0</v>
      </c>
      <c r="J100">
        <f t="shared" si="6"/>
        <v>0</v>
      </c>
    </row>
    <row r="101" spans="1:10" x14ac:dyDescent="0.35">
      <c r="A101" t="s">
        <v>672</v>
      </c>
      <c r="B101" t="s">
        <v>673</v>
      </c>
      <c r="H101">
        <f t="shared" si="4"/>
        <v>0</v>
      </c>
      <c r="I101">
        <f t="shared" si="5"/>
        <v>0</v>
      </c>
      <c r="J101">
        <f t="shared" si="6"/>
        <v>0</v>
      </c>
    </row>
    <row r="102" spans="1:10" x14ac:dyDescent="0.35">
      <c r="A102" t="s">
        <v>688</v>
      </c>
      <c r="H102">
        <f t="shared" si="4"/>
        <v>0</v>
      </c>
      <c r="I102">
        <f t="shared" si="5"/>
        <v>0</v>
      </c>
      <c r="J102">
        <f t="shared" si="6"/>
        <v>0</v>
      </c>
    </row>
    <row r="103" spans="1:10" x14ac:dyDescent="0.35">
      <c r="A103" t="s">
        <v>488</v>
      </c>
      <c r="H103">
        <f t="shared" si="4"/>
        <v>0</v>
      </c>
      <c r="I103">
        <f t="shared" si="5"/>
        <v>0</v>
      </c>
      <c r="J103">
        <f t="shared" si="6"/>
        <v>0</v>
      </c>
    </row>
    <row r="104" spans="1:10" x14ac:dyDescent="0.35">
      <c r="H104">
        <f t="shared" si="4"/>
        <v>0</v>
      </c>
      <c r="I104">
        <f t="shared" si="5"/>
        <v>0</v>
      </c>
      <c r="J104">
        <f t="shared" si="6"/>
        <v>0</v>
      </c>
    </row>
    <row r="105" spans="1:10" x14ac:dyDescent="0.35">
      <c r="H105">
        <f t="shared" si="4"/>
        <v>0</v>
      </c>
      <c r="I105">
        <f t="shared" si="5"/>
        <v>0</v>
      </c>
      <c r="J105">
        <f t="shared" si="6"/>
        <v>0</v>
      </c>
    </row>
    <row r="106" spans="1:10" x14ac:dyDescent="0.35">
      <c r="H106">
        <f t="shared" si="4"/>
        <v>0</v>
      </c>
      <c r="I106">
        <f t="shared" si="5"/>
        <v>0</v>
      </c>
      <c r="J106">
        <f t="shared" si="6"/>
        <v>0</v>
      </c>
    </row>
    <row r="107" spans="1:10" x14ac:dyDescent="0.35">
      <c r="H107">
        <f t="shared" si="4"/>
        <v>0</v>
      </c>
      <c r="I107">
        <f t="shared" si="5"/>
        <v>0</v>
      </c>
      <c r="J107">
        <f t="shared" si="6"/>
        <v>0</v>
      </c>
    </row>
    <row r="108" spans="1:10" x14ac:dyDescent="0.35">
      <c r="H108">
        <f t="shared" si="4"/>
        <v>0</v>
      </c>
      <c r="I108">
        <f t="shared" si="5"/>
        <v>0</v>
      </c>
      <c r="J108">
        <f t="shared" si="6"/>
        <v>0</v>
      </c>
    </row>
    <row r="109" spans="1:10" x14ac:dyDescent="0.35">
      <c r="H109">
        <f t="shared" si="4"/>
        <v>0</v>
      </c>
      <c r="I109">
        <f t="shared" si="5"/>
        <v>0</v>
      </c>
      <c r="J109">
        <f t="shared" si="6"/>
        <v>0</v>
      </c>
    </row>
    <row r="110" spans="1:10" x14ac:dyDescent="0.35">
      <c r="H110">
        <f t="shared" si="4"/>
        <v>0</v>
      </c>
      <c r="I110">
        <f t="shared" si="5"/>
        <v>0</v>
      </c>
      <c r="J110">
        <f t="shared" si="6"/>
        <v>0</v>
      </c>
    </row>
    <row r="111" spans="1:10" x14ac:dyDescent="0.35">
      <c r="H111">
        <f t="shared" si="4"/>
        <v>0</v>
      </c>
      <c r="I111">
        <f t="shared" si="5"/>
        <v>0</v>
      </c>
      <c r="J111">
        <f t="shared" si="6"/>
        <v>0</v>
      </c>
    </row>
    <row r="112" spans="1:10" x14ac:dyDescent="0.35">
      <c r="H112">
        <f t="shared" si="4"/>
        <v>0</v>
      </c>
      <c r="I112">
        <f t="shared" si="5"/>
        <v>0</v>
      </c>
      <c r="J112">
        <f t="shared" si="6"/>
        <v>0</v>
      </c>
    </row>
    <row r="113" spans="8:10" x14ac:dyDescent="0.35">
      <c r="H113">
        <f t="shared" si="4"/>
        <v>0</v>
      </c>
      <c r="I113">
        <f t="shared" si="5"/>
        <v>0</v>
      </c>
      <c r="J113">
        <f t="shared" si="6"/>
        <v>0</v>
      </c>
    </row>
    <row r="114" spans="8:10" x14ac:dyDescent="0.35">
      <c r="H114">
        <f t="shared" si="4"/>
        <v>0</v>
      </c>
      <c r="I114">
        <f t="shared" si="5"/>
        <v>0</v>
      </c>
      <c r="J114">
        <f t="shared" si="6"/>
        <v>0</v>
      </c>
    </row>
    <row r="115" spans="8:10" x14ac:dyDescent="0.35">
      <c r="H115">
        <f t="shared" si="4"/>
        <v>0</v>
      </c>
      <c r="I115">
        <f t="shared" si="5"/>
        <v>0</v>
      </c>
      <c r="J115">
        <f t="shared" si="6"/>
        <v>0</v>
      </c>
    </row>
    <row r="116" spans="8:10" x14ac:dyDescent="0.35">
      <c r="H116">
        <f t="shared" si="4"/>
        <v>0</v>
      </c>
      <c r="I116">
        <f t="shared" si="5"/>
        <v>0</v>
      </c>
      <c r="J116">
        <f t="shared" si="6"/>
        <v>0</v>
      </c>
    </row>
    <row r="117" spans="8:10" x14ac:dyDescent="0.35">
      <c r="H117">
        <f t="shared" si="4"/>
        <v>0</v>
      </c>
      <c r="I117">
        <f t="shared" si="5"/>
        <v>0</v>
      </c>
      <c r="J117">
        <f t="shared" si="6"/>
        <v>0</v>
      </c>
    </row>
    <row r="118" spans="8:10" x14ac:dyDescent="0.35">
      <c r="H118">
        <f t="shared" si="4"/>
        <v>0</v>
      </c>
      <c r="I118">
        <f t="shared" si="5"/>
        <v>0</v>
      </c>
      <c r="J118">
        <f t="shared" si="6"/>
        <v>0</v>
      </c>
    </row>
    <row r="119" spans="8:10" x14ac:dyDescent="0.35">
      <c r="H119">
        <f t="shared" si="4"/>
        <v>0</v>
      </c>
      <c r="I119">
        <f t="shared" si="5"/>
        <v>0</v>
      </c>
      <c r="J119">
        <f t="shared" si="6"/>
        <v>0</v>
      </c>
    </row>
    <row r="120" spans="8:10" x14ac:dyDescent="0.35">
      <c r="H120">
        <f t="shared" si="4"/>
        <v>0</v>
      </c>
      <c r="I120">
        <f t="shared" si="5"/>
        <v>0</v>
      </c>
      <c r="J120">
        <f t="shared" si="6"/>
        <v>0</v>
      </c>
    </row>
    <row r="121" spans="8:10" x14ac:dyDescent="0.35">
      <c r="H121">
        <f t="shared" si="4"/>
        <v>0</v>
      </c>
      <c r="I121">
        <f t="shared" si="5"/>
        <v>0</v>
      </c>
      <c r="J121">
        <f t="shared" si="6"/>
        <v>0</v>
      </c>
    </row>
    <row r="122" spans="8:10" x14ac:dyDescent="0.35">
      <c r="H122">
        <f t="shared" si="4"/>
        <v>0</v>
      </c>
      <c r="I122">
        <f t="shared" si="5"/>
        <v>0</v>
      </c>
      <c r="J122">
        <f t="shared" si="6"/>
        <v>0</v>
      </c>
    </row>
    <row r="123" spans="8:10" x14ac:dyDescent="0.35">
      <c r="H123">
        <f t="shared" si="4"/>
        <v>0</v>
      </c>
      <c r="I123">
        <f t="shared" si="5"/>
        <v>0</v>
      </c>
      <c r="J123">
        <f t="shared" si="6"/>
        <v>0</v>
      </c>
    </row>
    <row r="124" spans="8:10" x14ac:dyDescent="0.35">
      <c r="H124">
        <f t="shared" si="4"/>
        <v>0</v>
      </c>
      <c r="I124">
        <f t="shared" si="5"/>
        <v>0</v>
      </c>
      <c r="J124">
        <f t="shared" si="6"/>
        <v>0</v>
      </c>
    </row>
    <row r="125" spans="8:10" x14ac:dyDescent="0.35">
      <c r="H125">
        <f t="shared" si="4"/>
        <v>0</v>
      </c>
      <c r="I125">
        <f t="shared" si="5"/>
        <v>0</v>
      </c>
      <c r="J125">
        <f t="shared" si="6"/>
        <v>0</v>
      </c>
    </row>
    <row r="126" spans="8:10" x14ac:dyDescent="0.35">
      <c r="H126">
        <f t="shared" si="4"/>
        <v>0</v>
      </c>
      <c r="I126">
        <f t="shared" si="5"/>
        <v>0</v>
      </c>
      <c r="J126">
        <f t="shared" si="6"/>
        <v>0</v>
      </c>
    </row>
    <row r="127" spans="8:10" x14ac:dyDescent="0.35">
      <c r="H127">
        <f t="shared" si="4"/>
        <v>0</v>
      </c>
      <c r="I127">
        <f t="shared" si="5"/>
        <v>0</v>
      </c>
      <c r="J127">
        <f t="shared" si="6"/>
        <v>0</v>
      </c>
    </row>
    <row r="128" spans="8:10" x14ac:dyDescent="0.35">
      <c r="H128">
        <f t="shared" si="4"/>
        <v>0</v>
      </c>
      <c r="I128">
        <f t="shared" si="5"/>
        <v>0</v>
      </c>
      <c r="J128">
        <f t="shared" si="6"/>
        <v>0</v>
      </c>
    </row>
    <row r="129" spans="8:10" x14ac:dyDescent="0.35">
      <c r="H129">
        <f t="shared" si="4"/>
        <v>0</v>
      </c>
      <c r="I129">
        <f t="shared" si="5"/>
        <v>0</v>
      </c>
      <c r="J129">
        <f t="shared" si="6"/>
        <v>0</v>
      </c>
    </row>
    <row r="130" spans="8:10" x14ac:dyDescent="0.35">
      <c r="H130">
        <f t="shared" si="4"/>
        <v>0</v>
      </c>
      <c r="I130">
        <f t="shared" si="5"/>
        <v>0</v>
      </c>
      <c r="J130">
        <f t="shared" si="6"/>
        <v>0</v>
      </c>
    </row>
    <row r="131" spans="8:10" x14ac:dyDescent="0.35">
      <c r="H131">
        <f t="shared" si="4"/>
        <v>0</v>
      </c>
      <c r="I131">
        <f t="shared" si="5"/>
        <v>0</v>
      </c>
      <c r="J131">
        <f t="shared" si="6"/>
        <v>0</v>
      </c>
    </row>
    <row r="132" spans="8:10" x14ac:dyDescent="0.35">
      <c r="H132">
        <f t="shared" ref="H132:H195" si="7">IF(D132&gt;0,1,0)</f>
        <v>0</v>
      </c>
      <c r="I132">
        <f t="shared" ref="I132:I195" si="8">IF(E132&gt;0,1,0)</f>
        <v>0</v>
      </c>
      <c r="J132">
        <f t="shared" ref="J132:J195" si="9">SUM(G132:I132)</f>
        <v>0</v>
      </c>
    </row>
    <row r="133" spans="8:10" x14ac:dyDescent="0.35">
      <c r="H133">
        <f t="shared" si="7"/>
        <v>0</v>
      </c>
      <c r="I133">
        <f t="shared" si="8"/>
        <v>0</v>
      </c>
      <c r="J133">
        <f t="shared" si="9"/>
        <v>0</v>
      </c>
    </row>
    <row r="134" spans="8:10" x14ac:dyDescent="0.35">
      <c r="H134">
        <f t="shared" si="7"/>
        <v>0</v>
      </c>
      <c r="I134">
        <f t="shared" si="8"/>
        <v>0</v>
      </c>
      <c r="J134">
        <f t="shared" si="9"/>
        <v>0</v>
      </c>
    </row>
    <row r="135" spans="8:10" x14ac:dyDescent="0.35">
      <c r="H135">
        <f t="shared" si="7"/>
        <v>0</v>
      </c>
      <c r="I135">
        <f t="shared" si="8"/>
        <v>0</v>
      </c>
      <c r="J135">
        <f t="shared" si="9"/>
        <v>0</v>
      </c>
    </row>
    <row r="136" spans="8:10" x14ac:dyDescent="0.35">
      <c r="H136">
        <f t="shared" si="7"/>
        <v>0</v>
      </c>
      <c r="I136">
        <f t="shared" si="8"/>
        <v>0</v>
      </c>
      <c r="J136">
        <f t="shared" si="9"/>
        <v>0</v>
      </c>
    </row>
    <row r="137" spans="8:10" x14ac:dyDescent="0.35">
      <c r="H137">
        <f t="shared" si="7"/>
        <v>0</v>
      </c>
      <c r="I137">
        <f t="shared" si="8"/>
        <v>0</v>
      </c>
      <c r="J137">
        <f t="shared" si="9"/>
        <v>0</v>
      </c>
    </row>
    <row r="138" spans="8:10" x14ac:dyDescent="0.35">
      <c r="H138">
        <f t="shared" si="7"/>
        <v>0</v>
      </c>
      <c r="I138">
        <f t="shared" si="8"/>
        <v>0</v>
      </c>
      <c r="J138">
        <f t="shared" si="9"/>
        <v>0</v>
      </c>
    </row>
    <row r="139" spans="8:10" x14ac:dyDescent="0.35">
      <c r="H139">
        <f t="shared" si="7"/>
        <v>0</v>
      </c>
      <c r="I139">
        <f t="shared" si="8"/>
        <v>0</v>
      </c>
      <c r="J139">
        <f t="shared" si="9"/>
        <v>0</v>
      </c>
    </row>
    <row r="140" spans="8:10" x14ac:dyDescent="0.35">
      <c r="H140">
        <f t="shared" si="7"/>
        <v>0</v>
      </c>
      <c r="I140">
        <f t="shared" si="8"/>
        <v>0</v>
      </c>
      <c r="J140">
        <f t="shared" si="9"/>
        <v>0</v>
      </c>
    </row>
    <row r="141" spans="8:10" x14ac:dyDescent="0.35">
      <c r="H141">
        <f t="shared" si="7"/>
        <v>0</v>
      </c>
      <c r="I141">
        <f t="shared" si="8"/>
        <v>0</v>
      </c>
      <c r="J141">
        <f t="shared" si="9"/>
        <v>0</v>
      </c>
    </row>
    <row r="142" spans="8:10" x14ac:dyDescent="0.35">
      <c r="H142">
        <f t="shared" si="7"/>
        <v>0</v>
      </c>
      <c r="I142">
        <f t="shared" si="8"/>
        <v>0</v>
      </c>
      <c r="J142">
        <f t="shared" si="9"/>
        <v>0</v>
      </c>
    </row>
    <row r="143" spans="8:10" x14ac:dyDescent="0.35">
      <c r="H143">
        <f t="shared" si="7"/>
        <v>0</v>
      </c>
      <c r="I143">
        <f t="shared" si="8"/>
        <v>0</v>
      </c>
      <c r="J143">
        <f t="shared" si="9"/>
        <v>0</v>
      </c>
    </row>
    <row r="144" spans="8:10" x14ac:dyDescent="0.35">
      <c r="H144">
        <f t="shared" si="7"/>
        <v>0</v>
      </c>
      <c r="I144">
        <f t="shared" si="8"/>
        <v>0</v>
      </c>
      <c r="J144">
        <f t="shared" si="9"/>
        <v>0</v>
      </c>
    </row>
    <row r="145" spans="8:10" x14ac:dyDescent="0.35">
      <c r="H145">
        <f t="shared" si="7"/>
        <v>0</v>
      </c>
      <c r="I145">
        <f t="shared" si="8"/>
        <v>0</v>
      </c>
      <c r="J145">
        <f t="shared" si="9"/>
        <v>0</v>
      </c>
    </row>
    <row r="146" spans="8:10" x14ac:dyDescent="0.35">
      <c r="H146">
        <f t="shared" si="7"/>
        <v>0</v>
      </c>
      <c r="I146">
        <f t="shared" si="8"/>
        <v>0</v>
      </c>
      <c r="J146">
        <f t="shared" si="9"/>
        <v>0</v>
      </c>
    </row>
    <row r="147" spans="8:10" x14ac:dyDescent="0.35">
      <c r="H147">
        <f t="shared" si="7"/>
        <v>0</v>
      </c>
      <c r="I147">
        <f t="shared" si="8"/>
        <v>0</v>
      </c>
      <c r="J147">
        <f t="shared" si="9"/>
        <v>0</v>
      </c>
    </row>
    <row r="148" spans="8:10" x14ac:dyDescent="0.35">
      <c r="H148">
        <f t="shared" si="7"/>
        <v>0</v>
      </c>
      <c r="I148">
        <f t="shared" si="8"/>
        <v>0</v>
      </c>
      <c r="J148">
        <f t="shared" si="9"/>
        <v>0</v>
      </c>
    </row>
    <row r="149" spans="8:10" x14ac:dyDescent="0.35">
      <c r="H149">
        <f t="shared" si="7"/>
        <v>0</v>
      </c>
      <c r="I149">
        <f t="shared" si="8"/>
        <v>0</v>
      </c>
      <c r="J149">
        <f t="shared" si="9"/>
        <v>0</v>
      </c>
    </row>
    <row r="150" spans="8:10" x14ac:dyDescent="0.35">
      <c r="H150">
        <f t="shared" si="7"/>
        <v>0</v>
      </c>
      <c r="I150">
        <f t="shared" si="8"/>
        <v>0</v>
      </c>
      <c r="J150">
        <f t="shared" si="9"/>
        <v>0</v>
      </c>
    </row>
    <row r="151" spans="8:10" x14ac:dyDescent="0.35">
      <c r="H151">
        <f t="shared" si="7"/>
        <v>0</v>
      </c>
      <c r="I151">
        <f t="shared" si="8"/>
        <v>0</v>
      </c>
      <c r="J151">
        <f t="shared" si="9"/>
        <v>0</v>
      </c>
    </row>
    <row r="152" spans="8:10" x14ac:dyDescent="0.35">
      <c r="H152">
        <f t="shared" si="7"/>
        <v>0</v>
      </c>
      <c r="I152">
        <f t="shared" si="8"/>
        <v>0</v>
      </c>
      <c r="J152">
        <f t="shared" si="9"/>
        <v>0</v>
      </c>
    </row>
    <row r="153" spans="8:10" x14ac:dyDescent="0.35">
      <c r="H153">
        <f t="shared" si="7"/>
        <v>0</v>
      </c>
      <c r="I153">
        <f t="shared" si="8"/>
        <v>0</v>
      </c>
      <c r="J153">
        <f t="shared" si="9"/>
        <v>0</v>
      </c>
    </row>
    <row r="154" spans="8:10" x14ac:dyDescent="0.35">
      <c r="H154">
        <f t="shared" si="7"/>
        <v>0</v>
      </c>
      <c r="I154">
        <f t="shared" si="8"/>
        <v>0</v>
      </c>
      <c r="J154">
        <f t="shared" si="9"/>
        <v>0</v>
      </c>
    </row>
    <row r="155" spans="8:10" x14ac:dyDescent="0.35">
      <c r="H155">
        <f t="shared" si="7"/>
        <v>0</v>
      </c>
      <c r="I155">
        <f t="shared" si="8"/>
        <v>0</v>
      </c>
      <c r="J155">
        <f t="shared" si="9"/>
        <v>0</v>
      </c>
    </row>
    <row r="156" spans="8:10" x14ac:dyDescent="0.35">
      <c r="H156">
        <f t="shared" si="7"/>
        <v>0</v>
      </c>
      <c r="I156">
        <f t="shared" si="8"/>
        <v>0</v>
      </c>
      <c r="J156">
        <f t="shared" si="9"/>
        <v>0</v>
      </c>
    </row>
    <row r="157" spans="8:10" x14ac:dyDescent="0.35">
      <c r="H157">
        <f t="shared" si="7"/>
        <v>0</v>
      </c>
      <c r="I157">
        <f t="shared" si="8"/>
        <v>0</v>
      </c>
      <c r="J157">
        <f t="shared" si="9"/>
        <v>0</v>
      </c>
    </row>
    <row r="158" spans="8:10" x14ac:dyDescent="0.35">
      <c r="H158">
        <f t="shared" si="7"/>
        <v>0</v>
      </c>
      <c r="I158">
        <f t="shared" si="8"/>
        <v>0</v>
      </c>
      <c r="J158">
        <f t="shared" si="9"/>
        <v>0</v>
      </c>
    </row>
    <row r="159" spans="8:10" x14ac:dyDescent="0.35">
      <c r="H159">
        <f t="shared" si="7"/>
        <v>0</v>
      </c>
      <c r="I159">
        <f t="shared" si="8"/>
        <v>0</v>
      </c>
      <c r="J159">
        <f t="shared" si="9"/>
        <v>0</v>
      </c>
    </row>
    <row r="160" spans="8:10" x14ac:dyDescent="0.35">
      <c r="H160">
        <f t="shared" si="7"/>
        <v>0</v>
      </c>
      <c r="I160">
        <f t="shared" si="8"/>
        <v>0</v>
      </c>
      <c r="J160">
        <f t="shared" si="9"/>
        <v>0</v>
      </c>
    </row>
    <row r="161" spans="8:10" x14ac:dyDescent="0.35">
      <c r="H161">
        <f t="shared" si="7"/>
        <v>0</v>
      </c>
      <c r="I161">
        <f t="shared" si="8"/>
        <v>0</v>
      </c>
      <c r="J161">
        <f t="shared" si="9"/>
        <v>0</v>
      </c>
    </row>
    <row r="162" spans="8:10" x14ac:dyDescent="0.35">
      <c r="H162">
        <f t="shared" si="7"/>
        <v>0</v>
      </c>
      <c r="I162">
        <f t="shared" si="8"/>
        <v>0</v>
      </c>
      <c r="J162">
        <f t="shared" si="9"/>
        <v>0</v>
      </c>
    </row>
    <row r="163" spans="8:10" x14ac:dyDescent="0.35">
      <c r="H163">
        <f t="shared" si="7"/>
        <v>0</v>
      </c>
      <c r="I163">
        <f t="shared" si="8"/>
        <v>0</v>
      </c>
      <c r="J163">
        <f t="shared" si="9"/>
        <v>0</v>
      </c>
    </row>
    <row r="164" spans="8:10" x14ac:dyDescent="0.35">
      <c r="H164">
        <f t="shared" si="7"/>
        <v>0</v>
      </c>
      <c r="I164">
        <f t="shared" si="8"/>
        <v>0</v>
      </c>
      <c r="J164">
        <f t="shared" si="9"/>
        <v>0</v>
      </c>
    </row>
    <row r="165" spans="8:10" x14ac:dyDescent="0.35">
      <c r="H165">
        <f t="shared" si="7"/>
        <v>0</v>
      </c>
      <c r="I165">
        <f t="shared" si="8"/>
        <v>0</v>
      </c>
      <c r="J165">
        <f t="shared" si="9"/>
        <v>0</v>
      </c>
    </row>
    <row r="166" spans="8:10" x14ac:dyDescent="0.35">
      <c r="H166">
        <f t="shared" si="7"/>
        <v>0</v>
      </c>
      <c r="I166">
        <f t="shared" si="8"/>
        <v>0</v>
      </c>
      <c r="J166">
        <f t="shared" si="9"/>
        <v>0</v>
      </c>
    </row>
    <row r="167" spans="8:10" x14ac:dyDescent="0.35">
      <c r="H167">
        <f t="shared" si="7"/>
        <v>0</v>
      </c>
      <c r="I167">
        <f t="shared" si="8"/>
        <v>0</v>
      </c>
      <c r="J167">
        <f t="shared" si="9"/>
        <v>0</v>
      </c>
    </row>
    <row r="168" spans="8:10" x14ac:dyDescent="0.35">
      <c r="H168">
        <f t="shared" si="7"/>
        <v>0</v>
      </c>
      <c r="I168">
        <f t="shared" si="8"/>
        <v>0</v>
      </c>
      <c r="J168">
        <f t="shared" si="9"/>
        <v>0</v>
      </c>
    </row>
    <row r="169" spans="8:10" x14ac:dyDescent="0.35">
      <c r="H169">
        <f t="shared" si="7"/>
        <v>0</v>
      </c>
      <c r="I169">
        <f t="shared" si="8"/>
        <v>0</v>
      </c>
      <c r="J169">
        <f t="shared" si="9"/>
        <v>0</v>
      </c>
    </row>
    <row r="170" spans="8:10" x14ac:dyDescent="0.35">
      <c r="H170">
        <f t="shared" si="7"/>
        <v>0</v>
      </c>
      <c r="I170">
        <f t="shared" si="8"/>
        <v>0</v>
      </c>
      <c r="J170">
        <f t="shared" si="9"/>
        <v>0</v>
      </c>
    </row>
    <row r="171" spans="8:10" x14ac:dyDescent="0.35">
      <c r="H171">
        <f t="shared" si="7"/>
        <v>0</v>
      </c>
      <c r="I171">
        <f t="shared" si="8"/>
        <v>0</v>
      </c>
      <c r="J171">
        <f t="shared" si="9"/>
        <v>0</v>
      </c>
    </row>
    <row r="172" spans="8:10" x14ac:dyDescent="0.35">
      <c r="H172">
        <f t="shared" si="7"/>
        <v>0</v>
      </c>
      <c r="I172">
        <f t="shared" si="8"/>
        <v>0</v>
      </c>
      <c r="J172">
        <f t="shared" si="9"/>
        <v>0</v>
      </c>
    </row>
    <row r="173" spans="8:10" x14ac:dyDescent="0.35">
      <c r="H173">
        <f t="shared" si="7"/>
        <v>0</v>
      </c>
      <c r="I173">
        <f t="shared" si="8"/>
        <v>0</v>
      </c>
      <c r="J173">
        <f t="shared" si="9"/>
        <v>0</v>
      </c>
    </row>
    <row r="174" spans="8:10" x14ac:dyDescent="0.35">
      <c r="H174">
        <f t="shared" si="7"/>
        <v>0</v>
      </c>
      <c r="I174">
        <f t="shared" si="8"/>
        <v>0</v>
      </c>
      <c r="J174">
        <f t="shared" si="9"/>
        <v>0</v>
      </c>
    </row>
    <row r="175" spans="8:10" x14ac:dyDescent="0.35">
      <c r="H175">
        <f t="shared" si="7"/>
        <v>0</v>
      </c>
      <c r="I175">
        <f t="shared" si="8"/>
        <v>0</v>
      </c>
      <c r="J175">
        <f t="shared" si="9"/>
        <v>0</v>
      </c>
    </row>
    <row r="176" spans="8:10" x14ac:dyDescent="0.35">
      <c r="H176">
        <f t="shared" si="7"/>
        <v>0</v>
      </c>
      <c r="I176">
        <f t="shared" si="8"/>
        <v>0</v>
      </c>
      <c r="J176">
        <f t="shared" si="9"/>
        <v>0</v>
      </c>
    </row>
    <row r="177" spans="8:10" x14ac:dyDescent="0.35">
      <c r="H177">
        <f t="shared" si="7"/>
        <v>0</v>
      </c>
      <c r="I177">
        <f t="shared" si="8"/>
        <v>0</v>
      </c>
      <c r="J177">
        <f t="shared" si="9"/>
        <v>0</v>
      </c>
    </row>
    <row r="178" spans="8:10" x14ac:dyDescent="0.35">
      <c r="H178">
        <f t="shared" si="7"/>
        <v>0</v>
      </c>
      <c r="I178">
        <f t="shared" si="8"/>
        <v>0</v>
      </c>
      <c r="J178">
        <f t="shared" si="9"/>
        <v>0</v>
      </c>
    </row>
    <row r="179" spans="8:10" x14ac:dyDescent="0.35">
      <c r="H179">
        <f t="shared" si="7"/>
        <v>0</v>
      </c>
      <c r="I179">
        <f t="shared" si="8"/>
        <v>0</v>
      </c>
      <c r="J179">
        <f t="shared" si="9"/>
        <v>0</v>
      </c>
    </row>
    <row r="180" spans="8:10" x14ac:dyDescent="0.35">
      <c r="H180">
        <f t="shared" si="7"/>
        <v>0</v>
      </c>
      <c r="I180">
        <f t="shared" si="8"/>
        <v>0</v>
      </c>
      <c r="J180">
        <f t="shared" si="9"/>
        <v>0</v>
      </c>
    </row>
    <row r="181" spans="8:10" x14ac:dyDescent="0.35">
      <c r="H181">
        <f t="shared" si="7"/>
        <v>0</v>
      </c>
      <c r="I181">
        <f t="shared" si="8"/>
        <v>0</v>
      </c>
      <c r="J181">
        <f t="shared" si="9"/>
        <v>0</v>
      </c>
    </row>
    <row r="182" spans="8:10" x14ac:dyDescent="0.35">
      <c r="H182">
        <f t="shared" si="7"/>
        <v>0</v>
      </c>
      <c r="I182">
        <f t="shared" si="8"/>
        <v>0</v>
      </c>
      <c r="J182">
        <f t="shared" si="9"/>
        <v>0</v>
      </c>
    </row>
    <row r="183" spans="8:10" x14ac:dyDescent="0.35">
      <c r="H183">
        <f t="shared" si="7"/>
        <v>0</v>
      </c>
      <c r="I183">
        <f t="shared" si="8"/>
        <v>0</v>
      </c>
      <c r="J183">
        <f t="shared" si="9"/>
        <v>0</v>
      </c>
    </row>
    <row r="184" spans="8:10" x14ac:dyDescent="0.35">
      <c r="H184">
        <f t="shared" si="7"/>
        <v>0</v>
      </c>
      <c r="I184">
        <f t="shared" si="8"/>
        <v>0</v>
      </c>
      <c r="J184">
        <f t="shared" si="9"/>
        <v>0</v>
      </c>
    </row>
    <row r="185" spans="8:10" x14ac:dyDescent="0.35">
      <c r="H185">
        <f t="shared" si="7"/>
        <v>0</v>
      </c>
      <c r="I185">
        <f t="shared" si="8"/>
        <v>0</v>
      </c>
      <c r="J185">
        <f t="shared" si="9"/>
        <v>0</v>
      </c>
    </row>
    <row r="186" spans="8:10" x14ac:dyDescent="0.35">
      <c r="H186">
        <f t="shared" si="7"/>
        <v>0</v>
      </c>
      <c r="I186">
        <f t="shared" si="8"/>
        <v>0</v>
      </c>
      <c r="J186">
        <f t="shared" si="9"/>
        <v>0</v>
      </c>
    </row>
    <row r="187" spans="8:10" x14ac:dyDescent="0.35">
      <c r="H187">
        <f t="shared" si="7"/>
        <v>0</v>
      </c>
      <c r="I187">
        <f t="shared" si="8"/>
        <v>0</v>
      </c>
      <c r="J187">
        <f t="shared" si="9"/>
        <v>0</v>
      </c>
    </row>
    <row r="188" spans="8:10" x14ac:dyDescent="0.35">
      <c r="H188">
        <f t="shared" si="7"/>
        <v>0</v>
      </c>
      <c r="I188">
        <f t="shared" si="8"/>
        <v>0</v>
      </c>
      <c r="J188">
        <f t="shared" si="9"/>
        <v>0</v>
      </c>
    </row>
    <row r="189" spans="8:10" x14ac:dyDescent="0.35">
      <c r="H189">
        <f t="shared" si="7"/>
        <v>0</v>
      </c>
      <c r="I189">
        <f t="shared" si="8"/>
        <v>0</v>
      </c>
      <c r="J189">
        <f t="shared" si="9"/>
        <v>0</v>
      </c>
    </row>
    <row r="190" spans="8:10" x14ac:dyDescent="0.35">
      <c r="H190">
        <f t="shared" si="7"/>
        <v>0</v>
      </c>
      <c r="I190">
        <f t="shared" si="8"/>
        <v>0</v>
      </c>
      <c r="J190">
        <f t="shared" si="9"/>
        <v>0</v>
      </c>
    </row>
    <row r="191" spans="8:10" x14ac:dyDescent="0.35">
      <c r="H191">
        <f t="shared" si="7"/>
        <v>0</v>
      </c>
      <c r="I191">
        <f t="shared" si="8"/>
        <v>0</v>
      </c>
      <c r="J191">
        <f t="shared" si="9"/>
        <v>0</v>
      </c>
    </row>
    <row r="192" spans="8:10" x14ac:dyDescent="0.35">
      <c r="H192">
        <f t="shared" si="7"/>
        <v>0</v>
      </c>
      <c r="I192">
        <f t="shared" si="8"/>
        <v>0</v>
      </c>
      <c r="J192">
        <f t="shared" si="9"/>
        <v>0</v>
      </c>
    </row>
    <row r="193" spans="8:10" x14ac:dyDescent="0.35">
      <c r="H193">
        <f t="shared" si="7"/>
        <v>0</v>
      </c>
      <c r="I193">
        <f t="shared" si="8"/>
        <v>0</v>
      </c>
      <c r="J193">
        <f t="shared" si="9"/>
        <v>0</v>
      </c>
    </row>
    <row r="194" spans="8:10" x14ac:dyDescent="0.35">
      <c r="H194">
        <f t="shared" si="7"/>
        <v>0</v>
      </c>
      <c r="I194">
        <f t="shared" si="8"/>
        <v>0</v>
      </c>
      <c r="J194">
        <f t="shared" si="9"/>
        <v>0</v>
      </c>
    </row>
    <row r="195" spans="8:10" x14ac:dyDescent="0.35">
      <c r="H195">
        <f t="shared" si="7"/>
        <v>0</v>
      </c>
      <c r="I195">
        <f t="shared" si="8"/>
        <v>0</v>
      </c>
      <c r="J195">
        <f t="shared" si="9"/>
        <v>0</v>
      </c>
    </row>
    <row r="196" spans="8:10" x14ac:dyDescent="0.35">
      <c r="H196">
        <f t="shared" ref="H196:H259" si="10">IF(D196&gt;0,1,0)</f>
        <v>0</v>
      </c>
      <c r="I196">
        <f t="shared" ref="I196:I259" si="11">IF(E196&gt;0,1,0)</f>
        <v>0</v>
      </c>
      <c r="J196">
        <f t="shared" ref="J196:J259" si="12">SUM(G196:I196)</f>
        <v>0</v>
      </c>
    </row>
    <row r="197" spans="8:10" x14ac:dyDescent="0.35">
      <c r="H197">
        <f t="shared" si="10"/>
        <v>0</v>
      </c>
      <c r="I197">
        <f t="shared" si="11"/>
        <v>0</v>
      </c>
      <c r="J197">
        <f t="shared" si="12"/>
        <v>0</v>
      </c>
    </row>
    <row r="198" spans="8:10" x14ac:dyDescent="0.35">
      <c r="H198">
        <f t="shared" si="10"/>
        <v>0</v>
      </c>
      <c r="I198">
        <f t="shared" si="11"/>
        <v>0</v>
      </c>
      <c r="J198">
        <f t="shared" si="12"/>
        <v>0</v>
      </c>
    </row>
    <row r="199" spans="8:10" x14ac:dyDescent="0.35">
      <c r="H199">
        <f t="shared" si="10"/>
        <v>0</v>
      </c>
      <c r="I199">
        <f t="shared" si="11"/>
        <v>0</v>
      </c>
      <c r="J199">
        <f t="shared" si="12"/>
        <v>0</v>
      </c>
    </row>
    <row r="200" spans="8:10" x14ac:dyDescent="0.35">
      <c r="H200">
        <f t="shared" si="10"/>
        <v>0</v>
      </c>
      <c r="I200">
        <f t="shared" si="11"/>
        <v>0</v>
      </c>
      <c r="J200">
        <f t="shared" si="12"/>
        <v>0</v>
      </c>
    </row>
    <row r="201" spans="8:10" x14ac:dyDescent="0.35">
      <c r="H201">
        <f t="shared" si="10"/>
        <v>0</v>
      </c>
      <c r="I201">
        <f t="shared" si="11"/>
        <v>0</v>
      </c>
      <c r="J201">
        <f t="shared" si="12"/>
        <v>0</v>
      </c>
    </row>
    <row r="202" spans="8:10" x14ac:dyDescent="0.35">
      <c r="H202">
        <f t="shared" si="10"/>
        <v>0</v>
      </c>
      <c r="I202">
        <f t="shared" si="11"/>
        <v>0</v>
      </c>
      <c r="J202">
        <f t="shared" si="12"/>
        <v>0</v>
      </c>
    </row>
    <row r="203" spans="8:10" x14ac:dyDescent="0.35">
      <c r="H203">
        <f t="shared" si="10"/>
        <v>0</v>
      </c>
      <c r="I203">
        <f t="shared" si="11"/>
        <v>0</v>
      </c>
      <c r="J203">
        <f t="shared" si="12"/>
        <v>0</v>
      </c>
    </row>
    <row r="204" spans="8:10" x14ac:dyDescent="0.35">
      <c r="H204">
        <f t="shared" si="10"/>
        <v>0</v>
      </c>
      <c r="I204">
        <f t="shared" si="11"/>
        <v>0</v>
      </c>
      <c r="J204">
        <f t="shared" si="12"/>
        <v>0</v>
      </c>
    </row>
    <row r="205" spans="8:10" x14ac:dyDescent="0.35">
      <c r="H205">
        <f t="shared" si="10"/>
        <v>0</v>
      </c>
      <c r="I205">
        <f t="shared" si="11"/>
        <v>0</v>
      </c>
      <c r="J205">
        <f t="shared" si="12"/>
        <v>0</v>
      </c>
    </row>
    <row r="206" spans="8:10" x14ac:dyDescent="0.35">
      <c r="H206">
        <f t="shared" si="10"/>
        <v>0</v>
      </c>
      <c r="I206">
        <f t="shared" si="11"/>
        <v>0</v>
      </c>
      <c r="J206">
        <f t="shared" si="12"/>
        <v>0</v>
      </c>
    </row>
    <row r="207" spans="8:10" x14ac:dyDescent="0.35">
      <c r="H207">
        <f t="shared" si="10"/>
        <v>0</v>
      </c>
      <c r="I207">
        <f t="shared" si="11"/>
        <v>0</v>
      </c>
      <c r="J207">
        <f t="shared" si="12"/>
        <v>0</v>
      </c>
    </row>
    <row r="208" spans="8:10" x14ac:dyDescent="0.35">
      <c r="H208">
        <f t="shared" si="10"/>
        <v>0</v>
      </c>
      <c r="I208">
        <f t="shared" si="11"/>
        <v>0</v>
      </c>
      <c r="J208">
        <f t="shared" si="12"/>
        <v>0</v>
      </c>
    </row>
    <row r="209" spans="8:10" x14ac:dyDescent="0.35">
      <c r="H209">
        <f t="shared" si="10"/>
        <v>0</v>
      </c>
      <c r="I209">
        <f t="shared" si="11"/>
        <v>0</v>
      </c>
      <c r="J209">
        <f t="shared" si="12"/>
        <v>0</v>
      </c>
    </row>
    <row r="210" spans="8:10" x14ac:dyDescent="0.35">
      <c r="H210">
        <f t="shared" si="10"/>
        <v>0</v>
      </c>
      <c r="I210">
        <f t="shared" si="11"/>
        <v>0</v>
      </c>
      <c r="J210">
        <f t="shared" si="12"/>
        <v>0</v>
      </c>
    </row>
    <row r="211" spans="8:10" x14ac:dyDescent="0.35">
      <c r="H211">
        <f t="shared" si="10"/>
        <v>0</v>
      </c>
      <c r="I211">
        <f t="shared" si="11"/>
        <v>0</v>
      </c>
      <c r="J211">
        <f t="shared" si="12"/>
        <v>0</v>
      </c>
    </row>
    <row r="212" spans="8:10" x14ac:dyDescent="0.35">
      <c r="H212">
        <f t="shared" si="10"/>
        <v>0</v>
      </c>
      <c r="I212">
        <f t="shared" si="11"/>
        <v>0</v>
      </c>
      <c r="J212">
        <f t="shared" si="12"/>
        <v>0</v>
      </c>
    </row>
    <row r="213" spans="8:10" x14ac:dyDescent="0.35">
      <c r="H213">
        <f t="shared" si="10"/>
        <v>0</v>
      </c>
      <c r="I213">
        <f t="shared" si="11"/>
        <v>0</v>
      </c>
      <c r="J213">
        <f t="shared" si="12"/>
        <v>0</v>
      </c>
    </row>
    <row r="214" spans="8:10" x14ac:dyDescent="0.35">
      <c r="H214">
        <f t="shared" si="10"/>
        <v>0</v>
      </c>
      <c r="I214">
        <f t="shared" si="11"/>
        <v>0</v>
      </c>
      <c r="J214">
        <f t="shared" si="12"/>
        <v>0</v>
      </c>
    </row>
    <row r="215" spans="8:10" x14ac:dyDescent="0.35">
      <c r="H215">
        <f t="shared" si="10"/>
        <v>0</v>
      </c>
      <c r="I215">
        <f t="shared" si="11"/>
        <v>0</v>
      </c>
      <c r="J215">
        <f t="shared" si="12"/>
        <v>0</v>
      </c>
    </row>
    <row r="216" spans="8:10" x14ac:dyDescent="0.35">
      <c r="H216">
        <f t="shared" si="10"/>
        <v>0</v>
      </c>
      <c r="I216">
        <f t="shared" si="11"/>
        <v>0</v>
      </c>
      <c r="J216">
        <f t="shared" si="12"/>
        <v>0</v>
      </c>
    </row>
    <row r="217" spans="8:10" x14ac:dyDescent="0.35">
      <c r="H217">
        <f t="shared" si="10"/>
        <v>0</v>
      </c>
      <c r="I217">
        <f t="shared" si="11"/>
        <v>0</v>
      </c>
      <c r="J217">
        <f t="shared" si="12"/>
        <v>0</v>
      </c>
    </row>
    <row r="218" spans="8:10" x14ac:dyDescent="0.35">
      <c r="H218">
        <f t="shared" si="10"/>
        <v>0</v>
      </c>
      <c r="I218">
        <f t="shared" si="11"/>
        <v>0</v>
      </c>
      <c r="J218">
        <f t="shared" si="12"/>
        <v>0</v>
      </c>
    </row>
    <row r="219" spans="8:10" x14ac:dyDescent="0.35">
      <c r="H219">
        <f t="shared" si="10"/>
        <v>0</v>
      </c>
      <c r="I219">
        <f t="shared" si="11"/>
        <v>0</v>
      </c>
      <c r="J219">
        <f t="shared" si="12"/>
        <v>0</v>
      </c>
    </row>
    <row r="220" spans="8:10" x14ac:dyDescent="0.35">
      <c r="H220">
        <f t="shared" si="10"/>
        <v>0</v>
      </c>
      <c r="I220">
        <f t="shared" si="11"/>
        <v>0</v>
      </c>
      <c r="J220">
        <f t="shared" si="12"/>
        <v>0</v>
      </c>
    </row>
    <row r="221" spans="8:10" x14ac:dyDescent="0.35">
      <c r="H221">
        <f t="shared" si="10"/>
        <v>0</v>
      </c>
      <c r="I221">
        <f t="shared" si="11"/>
        <v>0</v>
      </c>
      <c r="J221">
        <f t="shared" si="12"/>
        <v>0</v>
      </c>
    </row>
    <row r="222" spans="8:10" x14ac:dyDescent="0.35">
      <c r="H222">
        <f t="shared" si="10"/>
        <v>0</v>
      </c>
      <c r="I222">
        <f t="shared" si="11"/>
        <v>0</v>
      </c>
      <c r="J222">
        <f t="shared" si="12"/>
        <v>0</v>
      </c>
    </row>
    <row r="223" spans="8:10" x14ac:dyDescent="0.35">
      <c r="H223">
        <f t="shared" si="10"/>
        <v>0</v>
      </c>
      <c r="I223">
        <f t="shared" si="11"/>
        <v>0</v>
      </c>
      <c r="J223">
        <f t="shared" si="12"/>
        <v>0</v>
      </c>
    </row>
    <row r="224" spans="8:10" x14ac:dyDescent="0.35">
      <c r="H224">
        <f t="shared" si="10"/>
        <v>0</v>
      </c>
      <c r="I224">
        <f t="shared" si="11"/>
        <v>0</v>
      </c>
      <c r="J224">
        <f t="shared" si="12"/>
        <v>0</v>
      </c>
    </row>
    <row r="225" spans="8:10" x14ac:dyDescent="0.35">
      <c r="H225">
        <f t="shared" si="10"/>
        <v>0</v>
      </c>
      <c r="I225">
        <f t="shared" si="11"/>
        <v>0</v>
      </c>
      <c r="J225">
        <f t="shared" si="12"/>
        <v>0</v>
      </c>
    </row>
    <row r="226" spans="8:10" x14ac:dyDescent="0.35">
      <c r="H226">
        <f t="shared" si="10"/>
        <v>0</v>
      </c>
      <c r="I226">
        <f t="shared" si="11"/>
        <v>0</v>
      </c>
      <c r="J226">
        <f t="shared" si="12"/>
        <v>0</v>
      </c>
    </row>
    <row r="227" spans="8:10" x14ac:dyDescent="0.35">
      <c r="H227">
        <f t="shared" si="10"/>
        <v>0</v>
      </c>
      <c r="I227">
        <f t="shared" si="11"/>
        <v>0</v>
      </c>
      <c r="J227">
        <f t="shared" si="12"/>
        <v>0</v>
      </c>
    </row>
    <row r="228" spans="8:10" x14ac:dyDescent="0.35">
      <c r="H228">
        <f t="shared" si="10"/>
        <v>0</v>
      </c>
      <c r="I228">
        <f t="shared" si="11"/>
        <v>0</v>
      </c>
      <c r="J228">
        <f t="shared" si="12"/>
        <v>0</v>
      </c>
    </row>
    <row r="229" spans="8:10" x14ac:dyDescent="0.35">
      <c r="H229">
        <f t="shared" si="10"/>
        <v>0</v>
      </c>
      <c r="I229">
        <f t="shared" si="11"/>
        <v>0</v>
      </c>
      <c r="J229">
        <f t="shared" si="12"/>
        <v>0</v>
      </c>
    </row>
    <row r="230" spans="8:10" x14ac:dyDescent="0.35">
      <c r="H230">
        <f t="shared" si="10"/>
        <v>0</v>
      </c>
      <c r="I230">
        <f t="shared" si="11"/>
        <v>0</v>
      </c>
      <c r="J230">
        <f t="shared" si="12"/>
        <v>0</v>
      </c>
    </row>
    <row r="231" spans="8:10" x14ac:dyDescent="0.35">
      <c r="H231">
        <f t="shared" si="10"/>
        <v>0</v>
      </c>
      <c r="I231">
        <f t="shared" si="11"/>
        <v>0</v>
      </c>
      <c r="J231">
        <f t="shared" si="12"/>
        <v>0</v>
      </c>
    </row>
    <row r="232" spans="8:10" x14ac:dyDescent="0.35">
      <c r="H232">
        <f t="shared" si="10"/>
        <v>0</v>
      </c>
      <c r="I232">
        <f t="shared" si="11"/>
        <v>0</v>
      </c>
      <c r="J232">
        <f t="shared" si="12"/>
        <v>0</v>
      </c>
    </row>
    <row r="233" spans="8:10" x14ac:dyDescent="0.35">
      <c r="H233">
        <f t="shared" si="10"/>
        <v>0</v>
      </c>
      <c r="I233">
        <f t="shared" si="11"/>
        <v>0</v>
      </c>
      <c r="J233">
        <f t="shared" si="12"/>
        <v>0</v>
      </c>
    </row>
    <row r="234" spans="8:10" x14ac:dyDescent="0.35">
      <c r="H234">
        <f t="shared" si="10"/>
        <v>0</v>
      </c>
      <c r="I234">
        <f t="shared" si="11"/>
        <v>0</v>
      </c>
      <c r="J234">
        <f t="shared" si="12"/>
        <v>0</v>
      </c>
    </row>
    <row r="235" spans="8:10" x14ac:dyDescent="0.35">
      <c r="H235">
        <f t="shared" si="10"/>
        <v>0</v>
      </c>
      <c r="I235">
        <f t="shared" si="11"/>
        <v>0</v>
      </c>
      <c r="J235">
        <f t="shared" si="12"/>
        <v>0</v>
      </c>
    </row>
    <row r="236" spans="8:10" x14ac:dyDescent="0.35">
      <c r="H236">
        <f t="shared" si="10"/>
        <v>0</v>
      </c>
      <c r="I236">
        <f t="shared" si="11"/>
        <v>0</v>
      </c>
      <c r="J236">
        <f t="shared" si="12"/>
        <v>0</v>
      </c>
    </row>
    <row r="237" spans="8:10" x14ac:dyDescent="0.35">
      <c r="H237">
        <f t="shared" si="10"/>
        <v>0</v>
      </c>
      <c r="I237">
        <f t="shared" si="11"/>
        <v>0</v>
      </c>
      <c r="J237">
        <f t="shared" si="12"/>
        <v>0</v>
      </c>
    </row>
    <row r="238" spans="8:10" x14ac:dyDescent="0.35">
      <c r="H238">
        <f t="shared" si="10"/>
        <v>0</v>
      </c>
      <c r="I238">
        <f t="shared" si="11"/>
        <v>0</v>
      </c>
      <c r="J238">
        <f t="shared" si="12"/>
        <v>0</v>
      </c>
    </row>
    <row r="239" spans="8:10" x14ac:dyDescent="0.35">
      <c r="H239">
        <f t="shared" si="10"/>
        <v>0</v>
      </c>
      <c r="I239">
        <f t="shared" si="11"/>
        <v>0</v>
      </c>
      <c r="J239">
        <f t="shared" si="12"/>
        <v>0</v>
      </c>
    </row>
    <row r="240" spans="8:10" x14ac:dyDescent="0.35">
      <c r="H240">
        <f t="shared" si="10"/>
        <v>0</v>
      </c>
      <c r="I240">
        <f t="shared" si="11"/>
        <v>0</v>
      </c>
      <c r="J240">
        <f t="shared" si="12"/>
        <v>0</v>
      </c>
    </row>
    <row r="241" spans="8:10" x14ac:dyDescent="0.35">
      <c r="H241">
        <f t="shared" si="10"/>
        <v>0</v>
      </c>
      <c r="I241">
        <f t="shared" si="11"/>
        <v>0</v>
      </c>
      <c r="J241">
        <f t="shared" si="12"/>
        <v>0</v>
      </c>
    </row>
    <row r="242" spans="8:10" x14ac:dyDescent="0.35">
      <c r="H242">
        <f t="shared" si="10"/>
        <v>0</v>
      </c>
      <c r="I242">
        <f t="shared" si="11"/>
        <v>0</v>
      </c>
      <c r="J242">
        <f t="shared" si="12"/>
        <v>0</v>
      </c>
    </row>
    <row r="243" spans="8:10" x14ac:dyDescent="0.35">
      <c r="H243">
        <f t="shared" si="10"/>
        <v>0</v>
      </c>
      <c r="I243">
        <f t="shared" si="11"/>
        <v>0</v>
      </c>
      <c r="J243">
        <f t="shared" si="12"/>
        <v>0</v>
      </c>
    </row>
    <row r="244" spans="8:10" x14ac:dyDescent="0.35">
      <c r="H244">
        <f t="shared" si="10"/>
        <v>0</v>
      </c>
      <c r="I244">
        <f t="shared" si="11"/>
        <v>0</v>
      </c>
      <c r="J244">
        <f t="shared" si="12"/>
        <v>0</v>
      </c>
    </row>
    <row r="245" spans="8:10" x14ac:dyDescent="0.35">
      <c r="H245">
        <f t="shared" si="10"/>
        <v>0</v>
      </c>
      <c r="I245">
        <f t="shared" si="11"/>
        <v>0</v>
      </c>
      <c r="J245">
        <f t="shared" si="12"/>
        <v>0</v>
      </c>
    </row>
    <row r="246" spans="8:10" x14ac:dyDescent="0.35">
      <c r="H246">
        <f t="shared" si="10"/>
        <v>0</v>
      </c>
      <c r="I246">
        <f t="shared" si="11"/>
        <v>0</v>
      </c>
      <c r="J246">
        <f t="shared" si="12"/>
        <v>0</v>
      </c>
    </row>
    <row r="247" spans="8:10" x14ac:dyDescent="0.35">
      <c r="H247">
        <f t="shared" si="10"/>
        <v>0</v>
      </c>
      <c r="I247">
        <f t="shared" si="11"/>
        <v>0</v>
      </c>
      <c r="J247">
        <f t="shared" si="12"/>
        <v>0</v>
      </c>
    </row>
    <row r="248" spans="8:10" x14ac:dyDescent="0.35">
      <c r="H248">
        <f t="shared" si="10"/>
        <v>0</v>
      </c>
      <c r="I248">
        <f t="shared" si="11"/>
        <v>0</v>
      </c>
      <c r="J248">
        <f t="shared" si="12"/>
        <v>0</v>
      </c>
    </row>
    <row r="249" spans="8:10" x14ac:dyDescent="0.35">
      <c r="H249">
        <f t="shared" si="10"/>
        <v>0</v>
      </c>
      <c r="I249">
        <f t="shared" si="11"/>
        <v>0</v>
      </c>
      <c r="J249">
        <f t="shared" si="12"/>
        <v>0</v>
      </c>
    </row>
    <row r="250" spans="8:10" x14ac:dyDescent="0.35">
      <c r="H250">
        <f t="shared" si="10"/>
        <v>0</v>
      </c>
      <c r="I250">
        <f t="shared" si="11"/>
        <v>0</v>
      </c>
      <c r="J250">
        <f t="shared" si="12"/>
        <v>0</v>
      </c>
    </row>
    <row r="251" spans="8:10" x14ac:dyDescent="0.35">
      <c r="H251">
        <f t="shared" si="10"/>
        <v>0</v>
      </c>
      <c r="I251">
        <f t="shared" si="11"/>
        <v>0</v>
      </c>
      <c r="J251">
        <f t="shared" si="12"/>
        <v>0</v>
      </c>
    </row>
    <row r="252" spans="8:10" x14ac:dyDescent="0.35">
      <c r="H252">
        <f t="shared" si="10"/>
        <v>0</v>
      </c>
      <c r="I252">
        <f t="shared" si="11"/>
        <v>0</v>
      </c>
      <c r="J252">
        <f t="shared" si="12"/>
        <v>0</v>
      </c>
    </row>
    <row r="253" spans="8:10" x14ac:dyDescent="0.35">
      <c r="H253">
        <f t="shared" si="10"/>
        <v>0</v>
      </c>
      <c r="I253">
        <f t="shared" si="11"/>
        <v>0</v>
      </c>
      <c r="J253">
        <f t="shared" si="12"/>
        <v>0</v>
      </c>
    </row>
    <row r="254" spans="8:10" x14ac:dyDescent="0.35">
      <c r="H254">
        <f t="shared" si="10"/>
        <v>0</v>
      </c>
      <c r="I254">
        <f t="shared" si="11"/>
        <v>0</v>
      </c>
      <c r="J254">
        <f>SUM(G254:I254)</f>
        <v>0</v>
      </c>
    </row>
    <row r="255" spans="8:10" x14ac:dyDescent="0.35">
      <c r="H255">
        <f t="shared" si="10"/>
        <v>0</v>
      </c>
      <c r="I255">
        <f t="shared" si="11"/>
        <v>0</v>
      </c>
      <c r="J255">
        <f t="shared" si="12"/>
        <v>0</v>
      </c>
    </row>
    <row r="256" spans="8:10" x14ac:dyDescent="0.35">
      <c r="H256">
        <f t="shared" si="10"/>
        <v>0</v>
      </c>
      <c r="I256">
        <f t="shared" si="11"/>
        <v>0</v>
      </c>
      <c r="J256">
        <f t="shared" si="12"/>
        <v>0</v>
      </c>
    </row>
    <row r="257" spans="8:10" x14ac:dyDescent="0.35">
      <c r="H257">
        <f t="shared" si="10"/>
        <v>0</v>
      </c>
      <c r="I257">
        <f t="shared" si="11"/>
        <v>0</v>
      </c>
      <c r="J257">
        <f t="shared" si="12"/>
        <v>0</v>
      </c>
    </row>
    <row r="258" spans="8:10" x14ac:dyDescent="0.35">
      <c r="H258">
        <f t="shared" si="10"/>
        <v>0</v>
      </c>
      <c r="I258">
        <f t="shared" si="11"/>
        <v>0</v>
      </c>
      <c r="J258">
        <f t="shared" si="12"/>
        <v>0</v>
      </c>
    </row>
    <row r="259" spans="8:10" x14ac:dyDescent="0.35">
      <c r="H259">
        <f t="shared" si="10"/>
        <v>0</v>
      </c>
      <c r="I259">
        <f t="shared" si="11"/>
        <v>0</v>
      </c>
      <c r="J259">
        <f t="shared" si="12"/>
        <v>0</v>
      </c>
    </row>
    <row r="260" spans="8:10" x14ac:dyDescent="0.35">
      <c r="H260">
        <f t="shared" ref="H260:H277" si="13">IF(D260&gt;0,1,0)</f>
        <v>0</v>
      </c>
      <c r="I260">
        <f t="shared" ref="I260:I277" si="14">IF(E260&gt;0,1,0)</f>
        <v>0</v>
      </c>
      <c r="J260">
        <f t="shared" ref="J260:J280" si="15">SUM(G260:I260)</f>
        <v>0</v>
      </c>
    </row>
    <row r="261" spans="8:10" x14ac:dyDescent="0.35">
      <c r="H261">
        <f t="shared" si="13"/>
        <v>0</v>
      </c>
      <c r="I261">
        <f t="shared" si="14"/>
        <v>0</v>
      </c>
      <c r="J261">
        <f t="shared" si="15"/>
        <v>0</v>
      </c>
    </row>
    <row r="262" spans="8:10" x14ac:dyDescent="0.35">
      <c r="H262">
        <f t="shared" si="13"/>
        <v>0</v>
      </c>
      <c r="I262">
        <f t="shared" si="14"/>
        <v>0</v>
      </c>
      <c r="J262">
        <f t="shared" si="15"/>
        <v>0</v>
      </c>
    </row>
    <row r="263" spans="8:10" x14ac:dyDescent="0.35">
      <c r="H263">
        <f t="shared" si="13"/>
        <v>0</v>
      </c>
      <c r="I263">
        <f t="shared" si="14"/>
        <v>0</v>
      </c>
      <c r="J263">
        <f t="shared" si="15"/>
        <v>0</v>
      </c>
    </row>
    <row r="264" spans="8:10" x14ac:dyDescent="0.35">
      <c r="H264">
        <f t="shared" si="13"/>
        <v>0</v>
      </c>
      <c r="I264">
        <f t="shared" si="14"/>
        <v>0</v>
      </c>
      <c r="J264">
        <f t="shared" si="15"/>
        <v>0</v>
      </c>
    </row>
    <row r="265" spans="8:10" x14ac:dyDescent="0.35">
      <c r="H265">
        <f t="shared" si="13"/>
        <v>0</v>
      </c>
      <c r="I265">
        <f t="shared" si="14"/>
        <v>0</v>
      </c>
      <c r="J265">
        <f t="shared" si="15"/>
        <v>0</v>
      </c>
    </row>
    <row r="266" spans="8:10" x14ac:dyDescent="0.35">
      <c r="H266">
        <f t="shared" si="13"/>
        <v>0</v>
      </c>
      <c r="I266">
        <f t="shared" si="14"/>
        <v>0</v>
      </c>
      <c r="J266">
        <f t="shared" si="15"/>
        <v>0</v>
      </c>
    </row>
    <row r="267" spans="8:10" x14ac:dyDescent="0.35">
      <c r="H267">
        <f t="shared" si="13"/>
        <v>0</v>
      </c>
      <c r="I267">
        <f t="shared" si="14"/>
        <v>0</v>
      </c>
      <c r="J267">
        <f t="shared" si="15"/>
        <v>0</v>
      </c>
    </row>
    <row r="268" spans="8:10" x14ac:dyDescent="0.35">
      <c r="H268">
        <f t="shared" si="13"/>
        <v>0</v>
      </c>
      <c r="I268">
        <f t="shared" si="14"/>
        <v>0</v>
      </c>
      <c r="J268">
        <f t="shared" si="15"/>
        <v>0</v>
      </c>
    </row>
    <row r="269" spans="8:10" x14ac:dyDescent="0.35">
      <c r="H269">
        <f t="shared" si="13"/>
        <v>0</v>
      </c>
      <c r="I269">
        <f t="shared" si="14"/>
        <v>0</v>
      </c>
      <c r="J269">
        <f t="shared" si="15"/>
        <v>0</v>
      </c>
    </row>
    <row r="270" spans="8:10" x14ac:dyDescent="0.35">
      <c r="H270">
        <f t="shared" si="13"/>
        <v>0</v>
      </c>
      <c r="I270">
        <f t="shared" si="14"/>
        <v>0</v>
      </c>
      <c r="J270">
        <f t="shared" si="15"/>
        <v>0</v>
      </c>
    </row>
    <row r="271" spans="8:10" x14ac:dyDescent="0.35">
      <c r="H271">
        <f t="shared" si="13"/>
        <v>0</v>
      </c>
      <c r="I271">
        <f t="shared" si="14"/>
        <v>0</v>
      </c>
      <c r="J271">
        <f t="shared" si="15"/>
        <v>0</v>
      </c>
    </row>
    <row r="272" spans="8:10" x14ac:dyDescent="0.35">
      <c r="H272">
        <f t="shared" si="13"/>
        <v>0</v>
      </c>
      <c r="I272">
        <f t="shared" si="14"/>
        <v>0</v>
      </c>
      <c r="J272">
        <f t="shared" si="15"/>
        <v>0</v>
      </c>
    </row>
    <row r="273" spans="8:10" x14ac:dyDescent="0.35">
      <c r="H273">
        <f t="shared" si="13"/>
        <v>0</v>
      </c>
      <c r="I273">
        <f t="shared" si="14"/>
        <v>0</v>
      </c>
      <c r="J273">
        <f t="shared" si="15"/>
        <v>0</v>
      </c>
    </row>
    <row r="274" spans="8:10" x14ac:dyDescent="0.35">
      <c r="H274">
        <f t="shared" si="13"/>
        <v>0</v>
      </c>
      <c r="I274">
        <f t="shared" si="14"/>
        <v>0</v>
      </c>
      <c r="J274">
        <f t="shared" si="15"/>
        <v>0</v>
      </c>
    </row>
    <row r="275" spans="8:10" x14ac:dyDescent="0.35">
      <c r="H275">
        <f t="shared" si="13"/>
        <v>0</v>
      </c>
      <c r="I275">
        <f t="shared" si="14"/>
        <v>0</v>
      </c>
      <c r="J275">
        <f t="shared" si="15"/>
        <v>0</v>
      </c>
    </row>
    <row r="276" spans="8:10" x14ac:dyDescent="0.35">
      <c r="H276">
        <f t="shared" si="13"/>
        <v>0</v>
      </c>
      <c r="I276">
        <f t="shared" si="14"/>
        <v>0</v>
      </c>
      <c r="J276">
        <f t="shared" si="15"/>
        <v>0</v>
      </c>
    </row>
    <row r="277" spans="8:10" x14ac:dyDescent="0.35">
      <c r="H277">
        <f t="shared" si="13"/>
        <v>0</v>
      </c>
      <c r="I277">
        <f t="shared" si="14"/>
        <v>0</v>
      </c>
      <c r="J277">
        <f t="shared" si="15"/>
        <v>0</v>
      </c>
    </row>
    <row r="278" spans="8:10" x14ac:dyDescent="0.35">
      <c r="H278">
        <f t="shared" ref="H278:H280" si="16">IF(D278&gt;0,1,0)</f>
        <v>0</v>
      </c>
      <c r="I278">
        <f t="shared" ref="I278:I280" si="17">IF(E278&gt;0,1,0)</f>
        <v>0</v>
      </c>
      <c r="J278">
        <f t="shared" si="15"/>
        <v>0</v>
      </c>
    </row>
    <row r="279" spans="8:10" x14ac:dyDescent="0.35">
      <c r="H279">
        <f t="shared" si="16"/>
        <v>0</v>
      </c>
      <c r="I279">
        <f t="shared" si="17"/>
        <v>0</v>
      </c>
      <c r="J279">
        <f t="shared" si="15"/>
        <v>0</v>
      </c>
    </row>
    <row r="280" spans="8:10" x14ac:dyDescent="0.35">
      <c r="H280">
        <f t="shared" si="16"/>
        <v>0</v>
      </c>
      <c r="I280">
        <f t="shared" si="17"/>
        <v>0</v>
      </c>
      <c r="J280">
        <f t="shared" si="15"/>
        <v>0</v>
      </c>
    </row>
    <row r="281" spans="8:10" x14ac:dyDescent="0.35">
      <c r="H281">
        <f t="shared" ref="H281:H289" si="18">IF(D281&gt;0,1,0)</f>
        <v>0</v>
      </c>
      <c r="I281">
        <f t="shared" ref="I281:I289" si="19">IF(E281&gt;0,1,0)</f>
        <v>0</v>
      </c>
      <c r="J281">
        <f t="shared" ref="J281:J289" si="20">SUM(G281:I281)</f>
        <v>0</v>
      </c>
    </row>
    <row r="282" spans="8:10" x14ac:dyDescent="0.35">
      <c r="H282">
        <f t="shared" si="18"/>
        <v>0</v>
      </c>
      <c r="I282">
        <f t="shared" si="19"/>
        <v>0</v>
      </c>
      <c r="J282">
        <f t="shared" si="20"/>
        <v>0</v>
      </c>
    </row>
    <row r="283" spans="8:10" x14ac:dyDescent="0.35">
      <c r="H283">
        <f t="shared" si="18"/>
        <v>0</v>
      </c>
      <c r="I283">
        <f t="shared" si="19"/>
        <v>0</v>
      </c>
      <c r="J283">
        <f t="shared" si="20"/>
        <v>0</v>
      </c>
    </row>
    <row r="284" spans="8:10" x14ac:dyDescent="0.35">
      <c r="H284">
        <f t="shared" si="18"/>
        <v>0</v>
      </c>
      <c r="I284">
        <f t="shared" si="19"/>
        <v>0</v>
      </c>
      <c r="J284">
        <f t="shared" si="20"/>
        <v>0</v>
      </c>
    </row>
    <row r="285" spans="8:10" x14ac:dyDescent="0.35">
      <c r="H285">
        <f t="shared" si="18"/>
        <v>0</v>
      </c>
      <c r="I285">
        <f t="shared" si="19"/>
        <v>0</v>
      </c>
      <c r="J285">
        <f t="shared" si="20"/>
        <v>0</v>
      </c>
    </row>
    <row r="286" spans="8:10" x14ac:dyDescent="0.35">
      <c r="H286">
        <f t="shared" si="18"/>
        <v>0</v>
      </c>
      <c r="I286">
        <f t="shared" si="19"/>
        <v>0</v>
      </c>
      <c r="J286">
        <f t="shared" si="20"/>
        <v>0</v>
      </c>
    </row>
    <row r="287" spans="8:10" x14ac:dyDescent="0.35">
      <c r="H287">
        <f t="shared" si="18"/>
        <v>0</v>
      </c>
      <c r="I287">
        <f t="shared" si="19"/>
        <v>0</v>
      </c>
      <c r="J287">
        <f t="shared" si="20"/>
        <v>0</v>
      </c>
    </row>
    <row r="288" spans="8:10" x14ac:dyDescent="0.35">
      <c r="H288">
        <f t="shared" si="18"/>
        <v>0</v>
      </c>
      <c r="I288">
        <f t="shared" si="19"/>
        <v>0</v>
      </c>
      <c r="J288">
        <f t="shared" si="20"/>
        <v>0</v>
      </c>
    </row>
    <row r="289" spans="8:10" x14ac:dyDescent="0.35">
      <c r="H289">
        <f t="shared" si="18"/>
        <v>0</v>
      </c>
      <c r="I289">
        <f t="shared" si="19"/>
        <v>0</v>
      </c>
      <c r="J289">
        <f t="shared" si="20"/>
        <v>0</v>
      </c>
    </row>
  </sheetData>
  <autoFilter ref="A1:J291" xr:uid="{0F0F83DA-E849-4DF1-A89D-8ABA5BA12FC9}"/>
  <conditionalFormatting sqref="J3:J289">
    <cfRule type="cellIs" dxfId="0" priority="2" operator="greaterThan">
      <formula>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73F76-760F-4074-BC98-7E7AAE809F69}">
  <dimension ref="A1:B28"/>
  <sheetViews>
    <sheetView workbookViewId="0">
      <selection activeCell="A33" sqref="A33"/>
    </sheetView>
  </sheetViews>
  <sheetFormatPr defaultRowHeight="14.5" x14ac:dyDescent="0.35"/>
  <cols>
    <col min="1" max="1" width="126.453125" bestFit="1" customWidth="1"/>
    <col min="2" max="2" width="11" bestFit="1" customWidth="1"/>
  </cols>
  <sheetData>
    <row r="1" spans="1:1" x14ac:dyDescent="0.35">
      <c r="A1" t="s">
        <v>503</v>
      </c>
    </row>
    <row r="2" spans="1:1" x14ac:dyDescent="0.35">
      <c r="A2" t="s">
        <v>504</v>
      </c>
    </row>
    <row r="3" spans="1:1" x14ac:dyDescent="0.35">
      <c r="A3" t="s">
        <v>505</v>
      </c>
    </row>
    <row r="4" spans="1:1" x14ac:dyDescent="0.35">
      <c r="A4" t="s">
        <v>506</v>
      </c>
    </row>
    <row r="5" spans="1:1" x14ac:dyDescent="0.35">
      <c r="A5" t="s">
        <v>507</v>
      </c>
    </row>
    <row r="6" spans="1:1" x14ac:dyDescent="0.35">
      <c r="A6" t="s">
        <v>508</v>
      </c>
    </row>
    <row r="8" spans="1:1" x14ac:dyDescent="0.35">
      <c r="A8" t="s">
        <v>509</v>
      </c>
    </row>
    <row r="9" spans="1:1" x14ac:dyDescent="0.35">
      <c r="A9" t="s">
        <v>510</v>
      </c>
    </row>
    <row r="10" spans="1:1" x14ac:dyDescent="0.35">
      <c r="A10" t="s">
        <v>511</v>
      </c>
    </row>
    <row r="11" spans="1:1" x14ac:dyDescent="0.35">
      <c r="A11" t="s">
        <v>512</v>
      </c>
    </row>
    <row r="12" spans="1:1" x14ac:dyDescent="0.35">
      <c r="A12" t="s">
        <v>513</v>
      </c>
    </row>
    <row r="16" spans="1:1" x14ac:dyDescent="0.35">
      <c r="A16" t="s">
        <v>514</v>
      </c>
    </row>
    <row r="24" spans="1:2" x14ac:dyDescent="0.35">
      <c r="A24" s="3" t="s">
        <v>615</v>
      </c>
    </row>
    <row r="25" spans="1:2" x14ac:dyDescent="0.35">
      <c r="A25" t="s">
        <v>616</v>
      </c>
    </row>
    <row r="26" spans="1:2" x14ac:dyDescent="0.35">
      <c r="A26" t="s">
        <v>617</v>
      </c>
    </row>
    <row r="27" spans="1:2" x14ac:dyDescent="0.35">
      <c r="A27" t="s">
        <v>618</v>
      </c>
    </row>
    <row r="28" spans="1:2" x14ac:dyDescent="0.35">
      <c r="A28" t="s">
        <v>554</v>
      </c>
      <c r="B28" t="str">
        <f>INDEX(Taulukko25[Seura],MATCH(A28,Taulukko25[Nimi],0))</f>
        <v>RMTB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CA283706A5A05442AB4BE48D9ABBFC57" ma:contentTypeVersion="15" ma:contentTypeDescription="Luo uusi asiakirja." ma:contentTypeScope="" ma:versionID="8d914918c322bb191bd127c72d96debc">
  <xsd:schema xmlns:xsd="http://www.w3.org/2001/XMLSchema" xmlns:xs="http://www.w3.org/2001/XMLSchema" xmlns:p="http://schemas.microsoft.com/office/2006/metadata/properties" xmlns:ns2="7ecdd5a4-338e-4d6f-8156-13147d55b256" xmlns:ns3="a6a9efae-a176-4926-94f6-432b81c9a5a3" targetNamespace="http://schemas.microsoft.com/office/2006/metadata/properties" ma:root="true" ma:fieldsID="4247a6addca6c77e2f0041c2b71030bf" ns2:_="" ns3:_="">
    <xsd:import namespace="7ecdd5a4-338e-4d6f-8156-13147d55b256"/>
    <xsd:import namespace="a6a9efae-a176-4926-94f6-432b81c9a5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cdd5a4-338e-4d6f-8156-13147d55b2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Kuvien tunnisteet" ma:readOnly="false" ma:fieldId="{5cf76f15-5ced-4ddc-b409-7134ff3c332f}" ma:taxonomyMulti="true" ma:sspId="35b7c745-9609-4d03-84fb-484aaf3124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a9efae-a176-4926-94f6-432b81c9a5a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Jaett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Jakamisen tiedot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f6ec8484-6e66-46a7-a91e-ed7b803c6ed8}" ma:internalName="TaxCatchAll" ma:showField="CatchAllData" ma:web="a6a9efae-a176-4926-94f6-432b81c9a5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a9efae-a176-4926-94f6-432b81c9a5a3" xsi:nil="true"/>
    <lcf76f155ced4ddcb4097134ff3c332f xmlns="7ecdd5a4-338e-4d6f-8156-13147d55b256">
      <Terms xmlns="http://schemas.microsoft.com/office/infopath/2007/PartnerControls"/>
    </lcf76f155ced4ddcb4097134ff3c332f>
  </documentManagement>
</p:properties>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59EEB5B3-E493-483E-AD4C-EA967F21329D}">
  <ds:schemaRefs>
    <ds:schemaRef ds:uri="http://gemini/pivotcustomization/TableXML_Seurat_c9886dbb-4901-4df9-bb96-107a0d7e452b"/>
  </ds:schemaRefs>
</ds:datastoreItem>
</file>

<file path=customXml/itemProps2.xml><?xml version="1.0" encoding="utf-8"?>
<ds:datastoreItem xmlns:ds="http://schemas.openxmlformats.org/officeDocument/2006/customXml" ds:itemID="{03B7844F-C568-45F1-A5D1-C3FB104845A7}">
  <ds:schemaRefs>
    <ds:schemaRef ds:uri="http://gemini/pivotcustomization/TableXML_Taulukko3"/>
  </ds:schemaRefs>
</ds:datastoreItem>
</file>

<file path=customXml/itemProps3.xml><?xml version="1.0" encoding="utf-8"?>
<ds:datastoreItem xmlns:ds="http://schemas.openxmlformats.org/officeDocument/2006/customXml" ds:itemID="{A00E2EFC-944D-4A98-A84B-D6382631EA92}">
  <ds:schemaRefs>
    <ds:schemaRef ds:uri="http://gemini/pivotcustomization/IsSandboxEmbedded"/>
  </ds:schemaRefs>
</ds:datastoreItem>
</file>

<file path=customXml/itemProps4.xml><?xml version="1.0" encoding="utf-8"?>
<ds:datastoreItem xmlns:ds="http://schemas.openxmlformats.org/officeDocument/2006/customXml" ds:itemID="{676E767F-1DBB-4E9C-A921-66A62F5710B0}">
  <ds:schemaRefs>
    <ds:schemaRef ds:uri="http://gemini/pivotcustomization/Diagrams"/>
  </ds:schemaRefs>
</ds:datastoreItem>
</file>

<file path=customXml/itemProps5.xml><?xml version="1.0" encoding="utf-8"?>
<ds:datastoreItem xmlns:ds="http://schemas.openxmlformats.org/officeDocument/2006/customXml" ds:itemID="{19F09EB2-C826-4B5D-830E-E3CB74CAED47}">
  <ds:schemaRefs>
    <ds:schemaRef ds:uri="http://gemini/pivotcustomization/ShowImplicitMeasures"/>
  </ds:schemaRefs>
</ds:datastoreItem>
</file>

<file path=customXml/itemProps6.xml><?xml version="1.0" encoding="utf-8"?>
<ds:datastoreItem xmlns:ds="http://schemas.openxmlformats.org/officeDocument/2006/customXml" ds:itemID="{6F81EF36-F3F4-45C9-AB10-3789D6C2C891}">
  <ds:schemaRefs>
    <ds:schemaRef ds:uri="http://gemini/pivotcustomization/FormulaBarState"/>
  </ds:schemaRefs>
</ds:datastoreItem>
</file>

<file path=customXml/itemProps7.xml><?xml version="1.0" encoding="utf-8"?>
<ds:datastoreItem xmlns:ds="http://schemas.openxmlformats.org/officeDocument/2006/customXml" ds:itemID="{432B09D0-C59B-4C34-8B2C-98DF1A4534C3}">
  <ds:schemaRefs>
    <ds:schemaRef ds:uri="http://gemini/pivotcustomization/ErrorCache"/>
  </ds:schemaRefs>
</ds:datastoreItem>
</file>

<file path=customXml/itemProps8.xml><?xml version="1.0" encoding="utf-8"?>
<ds:datastoreItem xmlns:ds="http://schemas.openxmlformats.org/officeDocument/2006/customXml" ds:itemID="{94E7F195-EDF5-42BD-BC11-847D102CB429}">
  <ds:schemaRefs>
    <ds:schemaRef ds:uri="http://gemini/pivotcustomization/TableOrder"/>
  </ds:schemaRefs>
</ds:datastoreItem>
</file>

<file path=customXml/itemProps9.xml><?xml version="1.0" encoding="utf-8"?>
<ds:datastoreItem xmlns:ds="http://schemas.openxmlformats.org/officeDocument/2006/customXml" ds:itemID="{857667BC-1C20-4B1D-AF5F-B8DF28C2316D}">
  <ds:schemaRefs>
    <ds:schemaRef ds:uri="http://gemini/pivotcustomization/MeasureGridState"/>
  </ds:schemaRefs>
</ds:datastoreItem>
</file>

<file path=customXml/itemProps10.xml><?xml version="1.0" encoding="utf-8"?>
<ds:datastoreItem xmlns:ds="http://schemas.openxmlformats.org/officeDocument/2006/customXml" ds:itemID="{0348C0DB-FA04-473D-BE01-0092B43BD39E}">
  <ds:schemaRefs>
    <ds:schemaRef ds:uri="http://gemini/pivotcustomization/PowerPivotVersion"/>
  </ds:schemaRefs>
</ds:datastoreItem>
</file>

<file path=customXml/itemProps11.xml><?xml version="1.0" encoding="utf-8"?>
<ds:datastoreItem xmlns:ds="http://schemas.openxmlformats.org/officeDocument/2006/customXml" ds:itemID="{EF1ED73D-5252-4D00-998E-DE5219F51442}">
  <ds:schemaRefs>
    <ds:schemaRef ds:uri="http://gemini/pivotcustomization/SandboxNonEmpty"/>
  </ds:schemaRefs>
</ds:datastoreItem>
</file>

<file path=customXml/itemProps12.xml><?xml version="1.0" encoding="utf-8"?>
<ds:datastoreItem xmlns:ds="http://schemas.openxmlformats.org/officeDocument/2006/customXml" ds:itemID="{F8CB3398-8445-4B30-A1F4-474DB2E9D26B}">
  <ds:schemaRefs>
    <ds:schemaRef ds:uri="http://schemas.microsoft.com/sharepoint/v3/contenttype/forms"/>
  </ds:schemaRefs>
</ds:datastoreItem>
</file>

<file path=customXml/itemProps13.xml><?xml version="1.0" encoding="utf-8"?>
<ds:datastoreItem xmlns:ds="http://schemas.openxmlformats.org/officeDocument/2006/customXml" ds:itemID="{A7CAE37E-2781-41F2-8E4D-BCBE4C0626AA}">
  <ds:schemaRefs>
    <ds:schemaRef ds:uri="http://gemini/pivotcustomization/TableXML_DATA_fbd3333e-1717-47b8-99bb-38b4edcaaeb2"/>
  </ds:schemaRefs>
</ds:datastoreItem>
</file>

<file path=customXml/itemProps14.xml><?xml version="1.0" encoding="utf-8"?>
<ds:datastoreItem xmlns:ds="http://schemas.openxmlformats.org/officeDocument/2006/customXml" ds:itemID="{1D6B4F43-1627-4F44-9CBD-CB333F122973}">
  <ds:schemaRefs>
    <ds:schemaRef ds:uri="http://gemini/pivotcustomization/LinkedTableUpdateMode"/>
  </ds:schemaRefs>
</ds:datastoreItem>
</file>

<file path=customXml/itemProps15.xml><?xml version="1.0" encoding="utf-8"?>
<ds:datastoreItem xmlns:ds="http://schemas.openxmlformats.org/officeDocument/2006/customXml" ds:itemID="{511C2B9F-BC3A-4D76-A5DF-5F8B31AF00D6}">
  <ds:schemaRefs>
    <ds:schemaRef ds:uri="http://gemini/pivotcustomization/ShowHidden"/>
  </ds:schemaRefs>
</ds:datastoreItem>
</file>

<file path=customXml/itemProps16.xml><?xml version="1.0" encoding="utf-8"?>
<ds:datastoreItem xmlns:ds="http://schemas.openxmlformats.org/officeDocument/2006/customXml" ds:itemID="{DF27C5E4-5C2B-42C1-8EB1-1AEE0E34AA91}">
  <ds:schemaRefs>
    <ds:schemaRef ds:uri="http://gemini/pivotcustomization/ClientWindowXML"/>
  </ds:schemaRefs>
</ds:datastoreItem>
</file>

<file path=customXml/itemProps17.xml><?xml version="1.0" encoding="utf-8"?>
<ds:datastoreItem xmlns:ds="http://schemas.openxmlformats.org/officeDocument/2006/customXml" ds:itemID="{FC084CB2-AC1E-420B-8514-2BAC81AFC96B}">
  <ds:schemaRefs>
    <ds:schemaRef ds:uri="http://gemini/pivotcustomization/TableXML_Seurat_00af4a7b-da0f-42a7-82f8-6da77379cfb4"/>
  </ds:schemaRefs>
</ds:datastoreItem>
</file>

<file path=customXml/itemProps18.xml><?xml version="1.0" encoding="utf-8"?>
<ds:datastoreItem xmlns:ds="http://schemas.openxmlformats.org/officeDocument/2006/customXml" ds:itemID="{3CEE4E5A-3637-4AFE-B9C3-D3A04522A69A}">
  <ds:schemaRefs>
    <ds:schemaRef ds:uri="http://gemini/pivotcustomization/ManualCalcMode"/>
  </ds:schemaRefs>
</ds:datastoreItem>
</file>

<file path=customXml/itemProps19.xml><?xml version="1.0" encoding="utf-8"?>
<ds:datastoreItem xmlns:ds="http://schemas.openxmlformats.org/officeDocument/2006/customXml" ds:itemID="{E0B9E6D2-FFD4-4B68-B2F3-5A3C5B036D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cdd5a4-338e-4d6f-8156-13147d55b256"/>
    <ds:schemaRef ds:uri="a6a9efae-a176-4926-94f6-432b81c9a5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0.xml><?xml version="1.0" encoding="utf-8"?>
<ds:datastoreItem xmlns:ds="http://schemas.openxmlformats.org/officeDocument/2006/customXml" ds:itemID="{48DF35A5-2D36-40AC-97C7-579A2B310A3A}">
  <ds:schemaRefs>
    <ds:schemaRef ds:uri="http://schemas.microsoft.com/office/2006/documentManagement/types"/>
    <ds:schemaRef ds:uri="7ecdd5a4-338e-4d6f-8156-13147d55b256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purl.org/dc/terms/"/>
    <ds:schemaRef ds:uri="a6a9efae-a176-4926-94f6-432b81c9a5a3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1.xml><?xml version="1.0" encoding="utf-8"?>
<ds:datastoreItem xmlns:ds="http://schemas.openxmlformats.org/officeDocument/2006/customXml" ds:itemID="{6F8A4284-1A56-4FAC-AB5E-2DB726BA0018}">
  <ds:schemaRefs>
    <ds:schemaRef ds:uri="http://gemini/pivotcustomization/TableWidget"/>
  </ds:schemaRefs>
</ds:datastoreItem>
</file>

<file path=customXml/itemProps22.xml><?xml version="1.0" encoding="utf-8"?>
<ds:datastoreItem xmlns:ds="http://schemas.openxmlformats.org/officeDocument/2006/customXml" ds:itemID="{FF39B2D6-8BBA-41B3-9FAE-EAAD3B2FADBD}">
  <ds:schemaRefs>
    <ds:schemaRef ds:uri="http://gemini/pivotcustomization/RelationshipAutoDetectionEnable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Laskentataulukot</vt:lpstr>
      </vt:variant>
      <vt:variant>
        <vt:i4>11</vt:i4>
      </vt:variant>
      <vt:variant>
        <vt:lpstr>Nimetyt alueet</vt:lpstr>
      </vt:variant>
      <vt:variant>
        <vt:i4>1</vt:i4>
      </vt:variant>
    </vt:vector>
  </HeadingPairs>
  <TitlesOfParts>
    <vt:vector size="12" baseType="lpstr">
      <vt:lpstr>Pistetaulukko</vt:lpstr>
      <vt:lpstr>DATA</vt:lpstr>
      <vt:lpstr>Seurat</vt:lpstr>
      <vt:lpstr>Suttu</vt:lpstr>
      <vt:lpstr>Pivot 2024</vt:lpstr>
      <vt:lpstr>XCO-CUP Pistetilanne</vt:lpstr>
      <vt:lpstr>Seura Pivot</vt:lpstr>
      <vt:lpstr>Taul3</vt:lpstr>
      <vt:lpstr>Mitalistit</vt:lpstr>
      <vt:lpstr>Osallistumiset CUP</vt:lpstr>
      <vt:lpstr>Ohjeet</vt:lpstr>
      <vt:lpstr>'XCO-CUP Pistetilanne'!Tulostusalue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Kultainen Kampi CUP</dc:title>
  <dc:subject/>
  <dc:creator>Vesa Laapas</dc:creator>
  <cp:keywords/>
  <dc:description/>
  <cp:lastModifiedBy>Jukka Kivirinta</cp:lastModifiedBy>
  <cp:revision/>
  <cp:lastPrinted>2024-07-08T04:15:13Z</cp:lastPrinted>
  <dcterms:created xsi:type="dcterms:W3CDTF">2017-09-19T07:27:21Z</dcterms:created>
  <dcterms:modified xsi:type="dcterms:W3CDTF">2026-05-13T06:40:27Z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0x010100CA283706A5A05442AB4BE48D9ABBFC57</vt:lpwstr>
  </property>
  <property fmtid="{D5CDD505-2E9C-101B-9397-08002B2CF9AE}" pid="3" name="MediaServiceImageTags">
    <vt:lpwstr/>
  </property>
</Properties>
</file>